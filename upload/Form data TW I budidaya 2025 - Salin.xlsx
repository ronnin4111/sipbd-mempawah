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491" documentId="13_ncr:1_{ABB2FAA2-708B-4FFB-B397-1CED29AEF1C3}" xr6:coauthVersionLast="47" xr6:coauthVersionMax="47" xr10:uidLastSave="{957B19F6-33D6-449D-91EE-AE62CF1A5500}"/>
  <bookViews>
    <workbookView xWindow="-120" yWindow="-120" windowWidth="24240" windowHeight="13020" firstSheet="4" activeTab="9" xr2:uid="{00000000-000D-0000-FFFF-FFFF00000000}"/>
  </bookViews>
  <sheets>
    <sheet name="RTP" sheetId="1" r:id="rId1"/>
    <sheet name="Produksi" sheetId="2" r:id="rId2"/>
    <sheet name="Produksi Total" sheetId="3" r:id="rId3"/>
    <sheet name="Komunitas_JenisBud" sheetId="17" r:id="rId4"/>
    <sheet name="Produksi Kecamatan" sheetId="18" r:id="rId5"/>
    <sheet name="Harga Rata2" sheetId="4" r:id="rId6"/>
    <sheet name="RTP P" sheetId="5" r:id="rId7"/>
    <sheet name="Produksi P" sheetId="6" r:id="rId8"/>
    <sheet name="Produksi T P" sheetId="7" r:id="rId9"/>
    <sheet name="Harga Rata2 P" sheetId="8" r:id="rId10"/>
    <sheet name="RTP H" sheetId="9" state="hidden" r:id="rId11"/>
    <sheet name="Produksi H" sheetId="10" state="hidden" r:id="rId12"/>
    <sheet name="Produksi Total H" sheetId="11" state="hidden" r:id="rId13"/>
    <sheet name="Harga Rata2 H" sheetId="12" state="hidden" r:id="rId14"/>
  </sheets>
  <definedNames>
    <definedName name="_xlnm.Print_Area" localSheetId="5">'Harga Rata2'!$A$1:$N$55</definedName>
    <definedName name="_xlnm.Print_Area" localSheetId="13">'Harga Rata2 H'!$A$1:$D$54</definedName>
    <definedName name="_xlnm.Print_Area" localSheetId="9">'Harga Rata2 P'!$A$1:$D$34</definedName>
    <definedName name="_xlnm.Print_Area" localSheetId="1">Produksi!$A$1:$E$53</definedName>
    <definedName name="_xlnm.Print_Area" localSheetId="11">'Produksi H'!$A$1:$E$19</definedName>
    <definedName name="_xlnm.Print_Area" localSheetId="7">'Produksi P'!$A$1:$E$19</definedName>
    <definedName name="_xlnm.Print_Area" localSheetId="8">'Produksi T P'!$A$1:$F$34</definedName>
    <definedName name="_xlnm.Print_Area" localSheetId="2">'Produksi Total'!$A$1:$F$59</definedName>
    <definedName name="_xlnm.Print_Area" localSheetId="12">'Produksi Total H'!$A$1:$F$53</definedName>
    <definedName name="_xlnm.Print_Area" localSheetId="0">RTP!$A$1:$E$16</definedName>
    <definedName name="_xlnm.Print_Area" localSheetId="10">'RTP H'!$A$1:$E$6</definedName>
    <definedName name="_xlnm.Print_Area" localSheetId="6">'RTP P'!$A$1:$E$7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6" l="1"/>
  <c r="J16" i="18"/>
  <c r="I16" i="18"/>
  <c r="H16" i="18"/>
  <c r="G16" i="18"/>
  <c r="D16" i="18"/>
  <c r="C16" i="18"/>
  <c r="D17" i="1" l="1"/>
  <c r="E59" i="3" l="1"/>
  <c r="F8" i="3"/>
  <c r="E51" i="2" l="1"/>
  <c r="E47" i="2"/>
  <c r="E43" i="2"/>
  <c r="E33" i="2"/>
  <c r="E29" i="2"/>
  <c r="E25" i="2"/>
  <c r="D19" i="2"/>
  <c r="E15" i="2"/>
  <c r="E11" i="2"/>
  <c r="E7" i="2"/>
  <c r="F24" i="7" l="1"/>
  <c r="E7" i="6"/>
  <c r="L59" i="17" l="1"/>
  <c r="M59" i="17"/>
  <c r="N59" i="17"/>
  <c r="D59" i="17"/>
  <c r="E59" i="17" l="1"/>
  <c r="C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3" i="17"/>
  <c r="O42" i="17"/>
  <c r="O41" i="17"/>
  <c r="O40" i="17"/>
  <c r="O39" i="17"/>
  <c r="O38" i="17"/>
  <c r="O37" i="17"/>
  <c r="O36" i="17"/>
  <c r="O35" i="17"/>
  <c r="O34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F56" i="3"/>
  <c r="F57" i="3"/>
  <c r="F58" i="3"/>
  <c r="O59" i="17" l="1"/>
  <c r="E19" i="6"/>
  <c r="E13" i="6"/>
  <c r="E19" i="10"/>
  <c r="E18" i="10"/>
  <c r="E13" i="10"/>
  <c r="E12" i="10"/>
  <c r="E7" i="10"/>
  <c r="E6" i="10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5" i="7"/>
  <c r="F26" i="7"/>
  <c r="F27" i="7"/>
  <c r="F28" i="7"/>
  <c r="F29" i="7"/>
  <c r="F30" i="7"/>
  <c r="F31" i="7"/>
  <c r="F32" i="7"/>
  <c r="F33" i="7"/>
  <c r="F6" i="7"/>
  <c r="D34" i="7"/>
  <c r="E34" i="7"/>
  <c r="C34" i="7"/>
  <c r="F7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4" i="3"/>
  <c r="F35" i="3"/>
  <c r="F36" i="3"/>
  <c r="F37" i="3"/>
  <c r="F38" i="3"/>
  <c r="F40" i="3"/>
  <c r="F41" i="3"/>
  <c r="F43" i="3"/>
  <c r="F45" i="3"/>
  <c r="F47" i="3"/>
  <c r="F49" i="3"/>
  <c r="F50" i="3"/>
  <c r="F51" i="3"/>
  <c r="F52" i="3"/>
  <c r="F53" i="3"/>
  <c r="F54" i="3"/>
  <c r="F55" i="3"/>
  <c r="D59" i="3"/>
  <c r="C59" i="3"/>
  <c r="F59" i="3" l="1"/>
  <c r="F3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5" authorId="0" shapeId="0" xr:uid="{598A4EBD-6E64-4C72-A302-0DC5E88725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Rumus Produktivitas=
Produksi (Kg)/Luas Lahan (m²)</t>
        </r>
      </text>
    </comment>
  </commentList>
</comments>
</file>

<file path=xl/sharedStrings.xml><?xml version="1.0" encoding="utf-8"?>
<sst xmlns="http://schemas.openxmlformats.org/spreadsheetml/2006/main" count="565" uniqueCount="204">
  <si>
    <t>Jaring Apung Laut</t>
  </si>
  <si>
    <t>Jaring Apung Tawar</t>
  </si>
  <si>
    <t>Jaring Tancap Tawar</t>
  </si>
  <si>
    <t>Karamba</t>
  </si>
  <si>
    <t>Kolam Air Deras</t>
  </si>
  <si>
    <t>Kolam Air Tenang</t>
  </si>
  <si>
    <t>Laut Lainnya</t>
  </si>
  <si>
    <t>Minapadi (Sawah)</t>
  </si>
  <si>
    <t>Rumput Laut</t>
  </si>
  <si>
    <t>Tambak Intensif</t>
  </si>
  <si>
    <t>Tambak Sederhana</t>
  </si>
  <si>
    <t>Tambak Semi Intensif</t>
  </si>
  <si>
    <t xml:space="preserve">Kab/Kota = </t>
  </si>
  <si>
    <t>No.</t>
  </si>
  <si>
    <t>Klasifikasi</t>
  </si>
  <si>
    <t>Jumlah RTP (unit)</t>
  </si>
  <si>
    <t>No</t>
  </si>
  <si>
    <t>Kabupaten :</t>
  </si>
  <si>
    <r>
      <t>Luas Lahan (m</t>
    </r>
    <r>
      <rPr>
        <sz val="11"/>
        <color theme="1"/>
        <rFont val="Calibri"/>
        <family val="2"/>
      </rPr>
      <t>²)</t>
    </r>
  </si>
  <si>
    <t>Produksi (Kg)</t>
  </si>
  <si>
    <t>Jenis Ikan</t>
  </si>
  <si>
    <t>Agregat Total (Kg)</t>
  </si>
  <si>
    <t>Bandeng</t>
  </si>
  <si>
    <t>Baung</t>
  </si>
  <si>
    <t>Bawal</t>
  </si>
  <si>
    <t>Bawal Putih</t>
  </si>
  <si>
    <t>Belanak</t>
  </si>
  <si>
    <t>Belut Sawah, Remang Sawah</t>
  </si>
  <si>
    <t>Betok</t>
  </si>
  <si>
    <t>Betutu</t>
  </si>
  <si>
    <t>Eucheuma cottonii</t>
  </si>
  <si>
    <t>Eucheuma spinosum</t>
  </si>
  <si>
    <t>Gabus</t>
  </si>
  <si>
    <t>Gurame, Gurami</t>
  </si>
  <si>
    <t>Jelawat</t>
  </si>
  <si>
    <t>Kakap</t>
  </si>
  <si>
    <t>Kakap Merah</t>
  </si>
  <si>
    <t>Kakap Putih</t>
  </si>
  <si>
    <t>Kepiting</t>
  </si>
  <si>
    <t>kepiting  bakau</t>
  </si>
  <si>
    <t>Kerapu</t>
  </si>
  <si>
    <t>Kerapu Bebek</t>
  </si>
  <si>
    <t>Kerapu Karang</t>
  </si>
  <si>
    <t>Kerapu Lumpur</t>
  </si>
  <si>
    <t>Kerapu Macan, Kerapu Belosoh</t>
  </si>
  <si>
    <t>Kerapu Sunu</t>
  </si>
  <si>
    <t>Kerapu, Kerapu Tutul, Kerapu Lumpur</t>
  </si>
  <si>
    <t>Lalawak</t>
  </si>
  <si>
    <t>Lele</t>
  </si>
  <si>
    <t>Lobster Air Tawar, Cherax</t>
  </si>
  <si>
    <t>Mas, Ikan Mas, Karper</t>
  </si>
  <si>
    <t>Mujair</t>
  </si>
  <si>
    <t>Nila</t>
  </si>
  <si>
    <t>Nilem</t>
  </si>
  <si>
    <t>Patin</t>
  </si>
  <si>
    <t>Patin Jambal</t>
  </si>
  <si>
    <t>Sargassum sp.</t>
  </si>
  <si>
    <t>Semah</t>
  </si>
  <si>
    <t>Sepat Rawa</t>
  </si>
  <si>
    <t>Sepat Siam</t>
  </si>
  <si>
    <t>Sepatung, Tempeh</t>
  </si>
  <si>
    <t>Sidat</t>
  </si>
  <si>
    <t>Sokang, Bawal Bintang</t>
  </si>
  <si>
    <t>Tambakan</t>
  </si>
  <si>
    <t>Tawes</t>
  </si>
  <si>
    <t>Toman</t>
  </si>
  <si>
    <t>Udang Galah</t>
  </si>
  <si>
    <t>Udang Tawar</t>
  </si>
  <si>
    <t>Udang Vaname, Udang Putih</t>
  </si>
  <si>
    <t>Udang Windu</t>
  </si>
  <si>
    <t xml:space="preserve">Kab/ Kota = </t>
  </si>
  <si>
    <t>Pembenihan Air Laut</t>
  </si>
  <si>
    <t>Pembenihan Air Tawar</t>
  </si>
  <si>
    <t>Produksi (1.000 ekor)</t>
  </si>
  <si>
    <t>Arwana</t>
  </si>
  <si>
    <t>Bawal Hitam</t>
  </si>
  <si>
    <t>Cupang-cupang</t>
  </si>
  <si>
    <t>Gracilaria verrucosa</t>
  </si>
  <si>
    <t xml:space="preserve">Ikan Hias </t>
  </si>
  <si>
    <t>Koi</t>
  </si>
  <si>
    <t>Ikan Hias Air Laut</t>
  </si>
  <si>
    <t>Ikan Hias Air Tawar</t>
  </si>
  <si>
    <t>Produksi (ekor)</t>
  </si>
  <si>
    <t>Agregat Total (Ekor)</t>
  </si>
  <si>
    <t>Akara</t>
  </si>
  <si>
    <t>Arwana Silver</t>
  </si>
  <si>
    <t>Arwana Super Red</t>
  </si>
  <si>
    <t>Banggai Cardinalfish</t>
  </si>
  <si>
    <t>Barbus</t>
  </si>
  <si>
    <t>Blue Devil/Betok Ambon</t>
  </si>
  <si>
    <t>Blue Eye</t>
  </si>
  <si>
    <t>Botia</t>
  </si>
  <si>
    <t>Cupang</t>
  </si>
  <si>
    <t>Diskus</t>
  </si>
  <si>
    <t>Dollar</t>
  </si>
  <si>
    <t>Gapi</t>
  </si>
  <si>
    <t>Guppy; Gupi;</t>
  </si>
  <si>
    <t>Ikan Hantu</t>
  </si>
  <si>
    <t>Ikan Pedang, Ikan Pedang, Tumbuk, Thoek Kojek</t>
  </si>
  <si>
    <t>Kaisar</t>
  </si>
  <si>
    <t>Kar Tetra</t>
  </si>
  <si>
    <t>Koki</t>
  </si>
  <si>
    <t>Komet</t>
  </si>
  <si>
    <t>Lobster Hias</t>
  </si>
  <si>
    <t>Louhan</t>
  </si>
  <si>
    <t>Manvis</t>
  </si>
  <si>
    <t>Marble</t>
  </si>
  <si>
    <t>Micky Mouse</t>
  </si>
  <si>
    <t>Moli</t>
  </si>
  <si>
    <t>Nemo</t>
  </si>
  <si>
    <t>Neon Api</t>
  </si>
  <si>
    <t>Neon Berlian</t>
  </si>
  <si>
    <t>Neon Tetra</t>
  </si>
  <si>
    <t>Oskar</t>
  </si>
  <si>
    <t>Phantom Merah</t>
  </si>
  <si>
    <t>Plati</t>
  </si>
  <si>
    <t>Plati Coral</t>
  </si>
  <si>
    <t>Plati Pedang</t>
  </si>
  <si>
    <t>Platis</t>
  </si>
  <si>
    <t>Rainbow</t>
  </si>
  <si>
    <t>Rocket</t>
  </si>
  <si>
    <t>Sapu Hias</t>
  </si>
  <si>
    <t>Silver Dolar</t>
  </si>
  <si>
    <t>Silver Slayer</t>
  </si>
  <si>
    <t>Sumatra Albino</t>
  </si>
  <si>
    <t>Tetra</t>
  </si>
  <si>
    <t>Tiger Sumatra</t>
  </si>
  <si>
    <t>Zebra</t>
  </si>
  <si>
    <t>Agregat Total (1.000 Ekor)</t>
  </si>
  <si>
    <t>ww</t>
  </si>
  <si>
    <t>Total</t>
  </si>
  <si>
    <r>
      <t>Luas Lahan (m</t>
    </r>
    <r>
      <rPr>
        <sz val="11"/>
        <color theme="1"/>
        <rFont val="Calibri"/>
        <family val="2"/>
      </rPr>
      <t>²</t>
    </r>
    <r>
      <rPr>
        <sz val="12.65"/>
        <color theme="1"/>
        <rFont val="Calibri"/>
        <family val="2"/>
      </rPr>
      <t>)</t>
    </r>
  </si>
  <si>
    <t>Jumlah Pembudidaya (Orang)</t>
  </si>
  <si>
    <t>Produktivitas (Kg/m²)</t>
  </si>
  <si>
    <t xml:space="preserve">Total </t>
  </si>
  <si>
    <t>Harga (Rp)</t>
  </si>
  <si>
    <r>
      <t>Luas Wadah (m</t>
    </r>
    <r>
      <rPr>
        <sz val="11"/>
        <color theme="1"/>
        <rFont val="Calibri"/>
        <family val="2"/>
      </rPr>
      <t>²</t>
    </r>
    <r>
      <rPr>
        <sz val="12.65"/>
        <color theme="1"/>
        <rFont val="Calibri"/>
        <family val="2"/>
      </rPr>
      <t>)</t>
    </r>
  </si>
  <si>
    <t>Produktivitas (1000 ekor/m²)</t>
  </si>
  <si>
    <t xml:space="preserve">Pembenihan Air Laut </t>
  </si>
  <si>
    <t xml:space="preserve">Ikan Hias Air Laut </t>
  </si>
  <si>
    <t>Produktivitas (ekor/m²)</t>
  </si>
  <si>
    <t>Kecamatan</t>
  </si>
  <si>
    <t>Air Tawar</t>
  </si>
  <si>
    <t>Air Payau</t>
  </si>
  <si>
    <t xml:space="preserve">Air Laut </t>
  </si>
  <si>
    <t>Volume (Kg)</t>
  </si>
  <si>
    <t>Nilai (Rp)</t>
  </si>
  <si>
    <t xml:space="preserve">Jumlah </t>
  </si>
  <si>
    <t>Payau</t>
  </si>
  <si>
    <t>Rumput Laut Gracillaria sp</t>
  </si>
  <si>
    <t>Laut</t>
  </si>
  <si>
    <t>Rumput Laut Eucheuma cottonii</t>
  </si>
  <si>
    <t>Rumput Laut Eucheuma spinosum</t>
  </si>
  <si>
    <t>Rumput Laut Sargassum sp.</t>
  </si>
  <si>
    <t>Bawal Bintang</t>
  </si>
  <si>
    <t>Lalawak/ Tawes</t>
  </si>
  <si>
    <t>Mas, Karper</t>
  </si>
  <si>
    <t>Udang Putih</t>
  </si>
  <si>
    <t>Udang Vaname</t>
  </si>
  <si>
    <t>Nila Salin</t>
  </si>
  <si>
    <t>Bulan : April</t>
  </si>
  <si>
    <t>Bulan : Mei</t>
  </si>
  <si>
    <t>Bulan : Juni</t>
  </si>
  <si>
    <t>Bulan = April - Juni</t>
  </si>
  <si>
    <t>Jumlah RTP Hias (April - Juni)</t>
  </si>
  <si>
    <t>Produksi Ikan Hias (April - Juni)</t>
  </si>
  <si>
    <t>Produksi ikan hias total per jenis ikan (April - Juni)</t>
  </si>
  <si>
    <t>Harga rata-rata ikan hias per jenis ikan (April - Juni)</t>
  </si>
  <si>
    <t>April (Ekor)</t>
  </si>
  <si>
    <t>Mei (Ekor)</t>
  </si>
  <si>
    <t>Juni (Ekor)</t>
  </si>
  <si>
    <t>Jumlah RTP Budidaya Pembesaran (Januari - Maret)</t>
  </si>
  <si>
    <t>Kab/Kota = Mempawah</t>
  </si>
  <si>
    <t>Bulan : Januari</t>
  </si>
  <si>
    <t>Kabupaten : Mempawah</t>
  </si>
  <si>
    <t>Bulan : Februari</t>
  </si>
  <si>
    <t>Bulan : Maret</t>
  </si>
  <si>
    <t>Produksi Pembesaran Per-Jenis Usaha Budidaya (Januari - Maret)</t>
  </si>
  <si>
    <t>Produksi pembesaran total per jenis ikan (Januari - Maret)</t>
  </si>
  <si>
    <t>Kab/ Kota = Mempawah</t>
  </si>
  <si>
    <t>Bulan = Januari - Maret</t>
  </si>
  <si>
    <t>Januari (Kg)</t>
  </si>
  <si>
    <t>Februari (Kg)</t>
  </si>
  <si>
    <t>Maret (Kg)</t>
  </si>
  <si>
    <t>Mempawah Hilir</t>
  </si>
  <si>
    <t>Mempawah Timur</t>
  </si>
  <si>
    <t>Toho</t>
  </si>
  <si>
    <t>Sungai Kunyit</t>
  </si>
  <si>
    <t>Anjongan</t>
  </si>
  <si>
    <t>Sungai Pinyuh</t>
  </si>
  <si>
    <t xml:space="preserve">Sadaniang </t>
  </si>
  <si>
    <t>Segedong</t>
  </si>
  <si>
    <t xml:space="preserve"> </t>
  </si>
  <si>
    <t>Harga rata-rata per jenis ikan (Januari - Maret)</t>
  </si>
  <si>
    <t>Jumlah RTP Budidaya Perbenihan (Januari - Maret)</t>
  </si>
  <si>
    <t>Produksi Perbenihan (Januari - Maret)</t>
  </si>
  <si>
    <t>Produksi perbenihan total per jenis ikan (Januari - Maret)</t>
  </si>
  <si>
    <t>Januari (1.000 Ekor)</t>
  </si>
  <si>
    <t>Februari (1.000 Ekor)</t>
  </si>
  <si>
    <t>Maret (1.000 Ekor)</t>
  </si>
  <si>
    <t>Jongkat</t>
  </si>
  <si>
    <t>Produksi pembesaran total per Kecamatan (Januari-Maret)</t>
  </si>
  <si>
    <t>Bulan = Januari-Maret</t>
  </si>
  <si>
    <t>Harga rata-rata benih per jenis ikan ( Januari - Maret)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</si>
</sst>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-* #,##0.00_-;\-* #,##0.00_-;_-* &quot;-&quot;_-;_-@_-"/>
    <numFmt numFmtId="168" formatCode="_-[$Rp-3809]* #,##0.00_-;\-[$Rp-3809]* #,##0.00_-;_-[$Rp-3809]* &quot;-&quot;??_-;_-@_-"/>
    <numFmt numFmtId="169" formatCode="_-&quot;Rp&quot;* #,##0_-;\-&quot;Rp&quot;* #,##0_-;_-&quot;Rp&quot;* &quot;-&quot;??_-;_-@_-"/>
    <numFmt numFmtId="170" formatCode="_-* #,##0.0000_-;\-* #,##0.0000_-;_-* &quot;-&quot;??_-;_-@_-"/>
    <numFmt numFmtId="171" formatCode="_-[$Rp-421]* #,##0.00_-;\-[$Rp-421]* #,##0.00_-;_-[$Rp-421]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2.65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0" fontId="3" fillId="3" borderId="2" applyNumberFormat="0" applyFont="0" applyAlignment="0" applyProtection="0"/>
    <xf numFmtId="41" fontId="3" fillId="0" borderId="0" applyFont="0" applyFill="0" applyBorder="0" applyAlignment="0" applyProtection="0"/>
    <xf numFmtId="0" fontId="2" fillId="3" borderId="2" applyNumberFormat="0" applyFont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3" borderId="2" applyNumberFormat="0" applyFont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3" borderId="2" applyNumberFormat="0" applyFont="0" applyAlignment="0" applyProtection="0"/>
    <xf numFmtId="165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indent="1"/>
    </xf>
    <xf numFmtId="43" fontId="0" fillId="0" borderId="1" xfId="14" applyFont="1" applyBorder="1"/>
    <xf numFmtId="166" fontId="0" fillId="0" borderId="1" xfId="14" applyNumberFormat="1" applyFont="1" applyBorder="1"/>
    <xf numFmtId="43" fontId="0" fillId="0" borderId="0" xfId="14" applyFont="1"/>
    <xf numFmtId="43" fontId="0" fillId="2" borderId="1" xfId="14" applyFont="1" applyFill="1" applyBorder="1" applyAlignment="1">
      <alignment horizontal="center"/>
    </xf>
    <xf numFmtId="2" fontId="0" fillId="0" borderId="1" xfId="0" applyNumberFormat="1" applyBorder="1"/>
    <xf numFmtId="164" fontId="0" fillId="0" borderId="1" xfId="15" applyFont="1" applyBorder="1"/>
    <xf numFmtId="43" fontId="0" fillId="0" borderId="0" xfId="0" applyNumberFormat="1"/>
    <xf numFmtId="167" fontId="0" fillId="0" borderId="1" xfId="16" applyNumberFormat="1" applyFont="1" applyBorder="1"/>
    <xf numFmtId="168" fontId="0" fillId="0" borderId="1" xfId="0" applyNumberFormat="1" applyBorder="1"/>
    <xf numFmtId="44" fontId="0" fillId="0" borderId="1" xfId="17" applyFont="1" applyBorder="1"/>
    <xf numFmtId="169" fontId="0" fillId="0" borderId="1" xfId="17" applyNumberFormat="1" applyFont="1" applyBorder="1"/>
    <xf numFmtId="43" fontId="0" fillId="0" borderId="1" xfId="0" applyNumberFormat="1" applyBorder="1"/>
    <xf numFmtId="44" fontId="0" fillId="0" borderId="1" xfId="0" applyNumberFormat="1" applyBorder="1"/>
    <xf numFmtId="42" fontId="0" fillId="0" borderId="1" xfId="18" applyFont="1" applyBorder="1"/>
    <xf numFmtId="167" fontId="0" fillId="0" borderId="0" xfId="0" applyNumberFormat="1"/>
    <xf numFmtId="164" fontId="0" fillId="0" borderId="0" xfId="0" applyNumberFormat="1"/>
    <xf numFmtId="44" fontId="0" fillId="0" borderId="0" xfId="0" applyNumberFormat="1"/>
    <xf numFmtId="166" fontId="0" fillId="0" borderId="0" xfId="14" applyNumberFormat="1" applyFont="1" applyFill="1" applyBorder="1"/>
    <xf numFmtId="166" fontId="0" fillId="0" borderId="0" xfId="14" applyNumberFormat="1" applyFont="1"/>
    <xf numFmtId="166" fontId="0" fillId="0" borderId="0" xfId="0" applyNumberFormat="1"/>
    <xf numFmtId="170" fontId="0" fillId="0" borderId="1" xfId="14" applyNumberFormat="1" applyFont="1" applyBorder="1"/>
    <xf numFmtId="171" fontId="0" fillId="0" borderId="0" xfId="0" applyNumberFormat="1"/>
    <xf numFmtId="44" fontId="0" fillId="0" borderId="0" xfId="19" applyFont="1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</cellXfs>
  <cellStyles count="20">
    <cellStyle name="Comma" xfId="14" builtinId="3"/>
    <cellStyle name="Comma [0]" xfId="15" builtinId="6"/>
    <cellStyle name="Comma [0] 2" xfId="4" xr:uid="{00000000-0005-0000-0000-000000000000}"/>
    <cellStyle name="Comma 2" xfId="6" xr:uid="{00000000-0005-0000-0000-000001000000}"/>
    <cellStyle name="Comma 3" xfId="9" xr:uid="{00000000-0005-0000-0000-000002000000}"/>
    <cellStyle name="Comma 4" xfId="12" xr:uid="{00000000-0005-0000-0000-000003000000}"/>
    <cellStyle name="Comma 5" xfId="2" xr:uid="{00000000-0005-0000-0000-000004000000}"/>
    <cellStyle name="Currency" xfId="19" builtinId="4"/>
    <cellStyle name="Koma [0] 2" xfId="16" xr:uid="{EF749218-E3E6-49B3-B2BF-A2C4F76A0D77}"/>
    <cellStyle name="Mata Uang [0] 2" xfId="18" xr:uid="{ABC8CD79-75E9-4623-AADD-D04075C4CBC0}"/>
    <cellStyle name="Mata Uang 2" xfId="17" xr:uid="{7BEEF1D1-59B9-41E7-8938-6D19E32313F1}"/>
    <cellStyle name="Normal" xfId="0" builtinId="0"/>
    <cellStyle name="Normal 2" xfId="7" xr:uid="{00000000-0005-0000-0000-000006000000}"/>
    <cellStyle name="Normal 3" xfId="10" xr:uid="{00000000-0005-0000-0000-000007000000}"/>
    <cellStyle name="Normal 4" xfId="13" xr:uid="{00000000-0005-0000-0000-000008000000}"/>
    <cellStyle name="Normal 5" xfId="1" xr:uid="{00000000-0005-0000-0000-000009000000}"/>
    <cellStyle name="Note 2" xfId="5" xr:uid="{00000000-0005-0000-0000-00000A000000}"/>
    <cellStyle name="Note 3" xfId="8" xr:uid="{00000000-0005-0000-0000-00000B000000}"/>
    <cellStyle name="Note 4" xfId="11" xr:uid="{00000000-0005-0000-0000-00000C000000}"/>
    <cellStyle name="Note 5" xfId="3" xr:uid="{00000000-0005-0000-0000-00000D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H17"/>
  <sheetViews>
    <sheetView view="pageBreakPreview" topLeftCell="B1" zoomScale="90" zoomScaleNormal="100" zoomScaleSheetLayoutView="90" workbookViewId="0">
      <selection activeCell="C22" sqref="C22"/>
    </sheetView>
  </sheetViews>
  <sheetFormatPr defaultRowHeight="15" x14ac:dyDescent="0.25"/>
  <cols>
    <col min="1" max="1" width="5.28515625" customWidth="1"/>
    <col min="2" max="2" width="27.5703125" customWidth="1"/>
    <col min="3" max="3" width="19.140625" customWidth="1"/>
    <col min="4" max="4" width="29" customWidth="1"/>
    <col min="5" max="5" width="21.5703125" customWidth="1"/>
    <col min="8" max="8" width="13.85546875" bestFit="1" customWidth="1"/>
  </cols>
  <sheetData>
    <row r="1" spans="1:8" x14ac:dyDescent="0.25">
      <c r="A1" t="s">
        <v>171</v>
      </c>
    </row>
    <row r="3" spans="1:8" x14ac:dyDescent="0.25">
      <c r="A3" t="s">
        <v>172</v>
      </c>
    </row>
    <row r="4" spans="1:8" ht="17.25" x14ac:dyDescent="0.3">
      <c r="A4" s="4" t="s">
        <v>13</v>
      </c>
      <c r="B4" s="4" t="s">
        <v>14</v>
      </c>
      <c r="C4" s="4" t="s">
        <v>15</v>
      </c>
      <c r="D4" s="4" t="s">
        <v>132</v>
      </c>
      <c r="E4" s="4" t="s">
        <v>131</v>
      </c>
    </row>
    <row r="5" spans="1:8" x14ac:dyDescent="0.25">
      <c r="A5" s="3">
        <v>1</v>
      </c>
      <c r="B5" s="2" t="s">
        <v>0</v>
      </c>
      <c r="C5" s="1"/>
      <c r="D5" s="1"/>
      <c r="E5" s="1"/>
    </row>
    <row r="6" spans="1:8" x14ac:dyDescent="0.25">
      <c r="A6" s="3">
        <v>2</v>
      </c>
      <c r="B6" s="2" t="s">
        <v>1</v>
      </c>
      <c r="C6" s="14">
        <v>47</v>
      </c>
      <c r="D6" s="14">
        <v>250</v>
      </c>
      <c r="E6" s="14">
        <v>30000</v>
      </c>
      <c r="H6" s="30"/>
    </row>
    <row r="7" spans="1:8" x14ac:dyDescent="0.25">
      <c r="A7" s="3">
        <v>3</v>
      </c>
      <c r="B7" s="2" t="s">
        <v>2</v>
      </c>
      <c r="C7" s="14"/>
      <c r="D7" s="14"/>
      <c r="E7" s="14"/>
      <c r="H7" s="31"/>
    </row>
    <row r="8" spans="1:8" x14ac:dyDescent="0.25">
      <c r="A8" s="3">
        <v>4</v>
      </c>
      <c r="B8" s="2" t="s">
        <v>3</v>
      </c>
      <c r="C8" s="14"/>
      <c r="D8" s="14"/>
      <c r="E8" s="14"/>
      <c r="H8" s="32"/>
    </row>
    <row r="9" spans="1:8" x14ac:dyDescent="0.25">
      <c r="A9" s="3">
        <v>5</v>
      </c>
      <c r="B9" s="2" t="s">
        <v>4</v>
      </c>
      <c r="C9" s="14"/>
      <c r="D9" s="14"/>
      <c r="E9" s="14"/>
    </row>
    <row r="10" spans="1:8" x14ac:dyDescent="0.25">
      <c r="A10" s="3">
        <v>6</v>
      </c>
      <c r="B10" s="2" t="s">
        <v>5</v>
      </c>
      <c r="C10" s="14">
        <v>120</v>
      </c>
      <c r="D10" s="14">
        <v>120</v>
      </c>
      <c r="E10" s="14">
        <v>45000</v>
      </c>
    </row>
    <row r="11" spans="1:8" x14ac:dyDescent="0.25">
      <c r="A11" s="3">
        <v>7</v>
      </c>
      <c r="B11" s="2" t="s">
        <v>6</v>
      </c>
      <c r="C11" s="14"/>
      <c r="D11" s="14"/>
      <c r="E11" s="14"/>
    </row>
    <row r="12" spans="1:8" x14ac:dyDescent="0.25">
      <c r="A12" s="3">
        <v>8</v>
      </c>
      <c r="B12" s="2" t="s">
        <v>7</v>
      </c>
      <c r="C12" s="14"/>
      <c r="D12" s="14"/>
      <c r="E12" s="14"/>
    </row>
    <row r="13" spans="1:8" x14ac:dyDescent="0.25">
      <c r="A13" s="3">
        <v>9</v>
      </c>
      <c r="B13" s="2" t="s">
        <v>8</v>
      </c>
      <c r="C13" s="14"/>
      <c r="D13" s="14"/>
      <c r="E13" s="14"/>
    </row>
    <row r="14" spans="1:8" x14ac:dyDescent="0.25">
      <c r="A14" s="3">
        <v>10</v>
      </c>
      <c r="B14" s="2" t="s">
        <v>9</v>
      </c>
      <c r="C14" s="14">
        <v>4</v>
      </c>
      <c r="D14" s="14">
        <v>4</v>
      </c>
      <c r="E14" s="14">
        <v>150000</v>
      </c>
    </row>
    <row r="15" spans="1:8" x14ac:dyDescent="0.25">
      <c r="A15" s="3">
        <v>11</v>
      </c>
      <c r="B15" s="2" t="s">
        <v>10</v>
      </c>
      <c r="C15" s="14"/>
      <c r="D15" s="14"/>
      <c r="E15" s="14"/>
    </row>
    <row r="16" spans="1:8" x14ac:dyDescent="0.25">
      <c r="A16" s="3">
        <v>12</v>
      </c>
      <c r="B16" s="2" t="s">
        <v>11</v>
      </c>
      <c r="C16" s="14"/>
      <c r="D16" s="14"/>
      <c r="E16" s="14"/>
    </row>
    <row r="17" spans="4:4" x14ac:dyDescent="0.25">
      <c r="D17" s="32">
        <f>SUM(D6:D16)</f>
        <v>374</v>
      </c>
    </row>
  </sheetData>
  <pageMargins left="0.7" right="0.7" top="0.75" bottom="0.75" header="0.3" footer="0.3"/>
  <pageSetup paperSize="10000" scale="88" orientation="landscape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E56"/>
  <sheetViews>
    <sheetView view="pageBreakPreview" topLeftCell="B37" zoomScaleNormal="100" zoomScaleSheetLayoutView="100" workbookViewId="0">
      <selection activeCell="D38" sqref="D37:D38"/>
    </sheetView>
  </sheetViews>
  <sheetFormatPr defaultRowHeight="15" x14ac:dyDescent="0.25"/>
  <cols>
    <col min="1" max="1" width="6.42578125" customWidth="1"/>
    <col min="2" max="2" width="24.85546875" customWidth="1"/>
    <col min="3" max="3" width="18.28515625" customWidth="1"/>
    <col min="4" max="4" width="21.140625" customWidth="1"/>
    <col min="5" max="5" width="20.5703125" customWidth="1"/>
  </cols>
  <sheetData>
    <row r="1" spans="1:5" x14ac:dyDescent="0.25">
      <c r="A1" t="s">
        <v>177</v>
      </c>
    </row>
    <row r="3" spans="1:5" x14ac:dyDescent="0.25">
      <c r="A3" t="s">
        <v>174</v>
      </c>
    </row>
    <row r="4" spans="1:5" x14ac:dyDescent="0.25">
      <c r="A4" t="s">
        <v>173</v>
      </c>
    </row>
    <row r="5" spans="1:5" x14ac:dyDescent="0.25">
      <c r="A5" s="4" t="s">
        <v>16</v>
      </c>
      <c r="B5" s="4" t="s">
        <v>14</v>
      </c>
      <c r="C5" s="4" t="s">
        <v>18</v>
      </c>
      <c r="D5" s="4" t="s">
        <v>19</v>
      </c>
      <c r="E5" s="4" t="s">
        <v>133</v>
      </c>
    </row>
    <row r="6" spans="1:5" x14ac:dyDescent="0.25">
      <c r="A6" s="3">
        <v>1</v>
      </c>
      <c r="B6" s="2" t="s">
        <v>0</v>
      </c>
      <c r="C6" s="13"/>
      <c r="D6" s="13"/>
      <c r="E6" s="13"/>
    </row>
    <row r="7" spans="1:5" x14ac:dyDescent="0.25">
      <c r="A7" s="3">
        <v>2</v>
      </c>
      <c r="B7" s="2" t="s">
        <v>1</v>
      </c>
      <c r="C7" s="13">
        <v>25000</v>
      </c>
      <c r="D7" s="14">
        <v>238742</v>
      </c>
      <c r="E7" s="33">
        <f>D7/C7</f>
        <v>9.5496800000000004</v>
      </c>
    </row>
    <row r="8" spans="1:5" x14ac:dyDescent="0.25">
      <c r="A8" s="3">
        <v>3</v>
      </c>
      <c r="B8" s="2" t="s">
        <v>2</v>
      </c>
      <c r="C8" s="13"/>
      <c r="D8" s="14"/>
      <c r="E8" s="33"/>
    </row>
    <row r="9" spans="1:5" x14ac:dyDescent="0.25">
      <c r="A9" s="3">
        <v>4</v>
      </c>
      <c r="B9" s="2" t="s">
        <v>3</v>
      </c>
      <c r="C9" s="13"/>
      <c r="D9" s="14"/>
      <c r="E9" s="33"/>
    </row>
    <row r="10" spans="1:5" x14ac:dyDescent="0.25">
      <c r="A10" s="3">
        <v>5</v>
      </c>
      <c r="B10" s="2" t="s">
        <v>4</v>
      </c>
      <c r="C10" s="13"/>
      <c r="D10" s="14"/>
      <c r="E10" s="33"/>
    </row>
    <row r="11" spans="1:5" x14ac:dyDescent="0.25">
      <c r="A11" s="3">
        <v>6</v>
      </c>
      <c r="B11" s="2" t="s">
        <v>5</v>
      </c>
      <c r="C11" s="13">
        <v>22000</v>
      </c>
      <c r="D11" s="14">
        <v>28778.2</v>
      </c>
      <c r="E11" s="33">
        <f>D11/C11</f>
        <v>1.3081</v>
      </c>
    </row>
    <row r="12" spans="1:5" x14ac:dyDescent="0.25">
      <c r="A12" s="3">
        <v>7</v>
      </c>
      <c r="B12" s="2" t="s">
        <v>6</v>
      </c>
      <c r="C12" s="13"/>
      <c r="D12" s="14"/>
      <c r="E12" s="33"/>
    </row>
    <row r="13" spans="1:5" x14ac:dyDescent="0.25">
      <c r="A13" s="3">
        <v>8</v>
      </c>
      <c r="B13" s="2" t="s">
        <v>7</v>
      </c>
      <c r="C13" s="13"/>
      <c r="D13" s="14"/>
      <c r="E13" s="33"/>
    </row>
    <row r="14" spans="1:5" x14ac:dyDescent="0.25">
      <c r="A14" s="3">
        <v>9</v>
      </c>
      <c r="B14" s="2" t="s">
        <v>8</v>
      </c>
      <c r="C14" s="13"/>
      <c r="D14" s="14"/>
      <c r="E14" s="33"/>
    </row>
    <row r="15" spans="1:5" x14ac:dyDescent="0.25">
      <c r="A15" s="3">
        <v>10</v>
      </c>
      <c r="B15" s="2" t="s">
        <v>9</v>
      </c>
      <c r="C15" s="13">
        <v>44000</v>
      </c>
      <c r="D15" s="14">
        <v>28287.600000000002</v>
      </c>
      <c r="E15" s="33">
        <f>D15/C15</f>
        <v>0.64290000000000003</v>
      </c>
    </row>
    <row r="16" spans="1:5" x14ac:dyDescent="0.25">
      <c r="A16" s="3">
        <v>11</v>
      </c>
      <c r="B16" s="2" t="s">
        <v>10</v>
      </c>
      <c r="C16" s="13"/>
      <c r="D16" s="13"/>
      <c r="E16" s="13"/>
    </row>
    <row r="17" spans="1:5" x14ac:dyDescent="0.25">
      <c r="A17" s="3">
        <v>12</v>
      </c>
      <c r="B17" s="2" t="s">
        <v>11</v>
      </c>
      <c r="C17" s="13"/>
      <c r="D17" s="13"/>
      <c r="E17" s="13"/>
    </row>
    <row r="18" spans="1:5" x14ac:dyDescent="0.25">
      <c r="C18" s="15"/>
      <c r="D18" s="15">
        <v>308000</v>
      </c>
      <c r="E18" s="15"/>
    </row>
    <row r="19" spans="1:5" x14ac:dyDescent="0.25">
      <c r="C19" s="15"/>
      <c r="D19" s="15">
        <f>D15+D11+D7</f>
        <v>295807.8</v>
      </c>
      <c r="E19" s="15"/>
    </row>
    <row r="20" spans="1:5" x14ac:dyDescent="0.25">
      <c r="C20" s="15"/>
      <c r="D20" s="15"/>
      <c r="E20" s="15"/>
    </row>
    <row r="21" spans="1:5" x14ac:dyDescent="0.25">
      <c r="A21" t="s">
        <v>174</v>
      </c>
      <c r="C21" s="15"/>
      <c r="D21" s="15"/>
      <c r="E21" s="15"/>
    </row>
    <row r="22" spans="1:5" x14ac:dyDescent="0.25">
      <c r="A22" t="s">
        <v>175</v>
      </c>
      <c r="C22" s="15"/>
      <c r="D22" s="15"/>
      <c r="E22" s="15"/>
    </row>
    <row r="23" spans="1:5" x14ac:dyDescent="0.25">
      <c r="A23" s="4" t="s">
        <v>16</v>
      </c>
      <c r="B23" s="4" t="s">
        <v>14</v>
      </c>
      <c r="C23" s="16" t="s">
        <v>18</v>
      </c>
      <c r="D23" s="16" t="s">
        <v>19</v>
      </c>
      <c r="E23" s="16" t="s">
        <v>133</v>
      </c>
    </row>
    <row r="24" spans="1:5" x14ac:dyDescent="0.25">
      <c r="A24" s="3">
        <v>1</v>
      </c>
      <c r="B24" s="2" t="s">
        <v>0</v>
      </c>
      <c r="C24" s="13"/>
      <c r="D24" s="13"/>
      <c r="E24" s="13"/>
    </row>
    <row r="25" spans="1:5" x14ac:dyDescent="0.25">
      <c r="A25" s="3">
        <v>2</v>
      </c>
      <c r="B25" s="2" t="s">
        <v>1</v>
      </c>
      <c r="C25" s="13">
        <v>25000</v>
      </c>
      <c r="D25" s="13">
        <v>236732</v>
      </c>
      <c r="E25" s="33">
        <f>D25/C25</f>
        <v>9.4692799999999995</v>
      </c>
    </row>
    <row r="26" spans="1:5" x14ac:dyDescent="0.25">
      <c r="A26" s="3">
        <v>3</v>
      </c>
      <c r="B26" s="2" t="s">
        <v>2</v>
      </c>
      <c r="C26" s="13"/>
      <c r="D26" s="13"/>
      <c r="E26" s="33"/>
    </row>
    <row r="27" spans="1:5" x14ac:dyDescent="0.25">
      <c r="A27" s="3">
        <v>4</v>
      </c>
      <c r="B27" s="2" t="s">
        <v>3</v>
      </c>
      <c r="C27" s="13"/>
      <c r="D27" s="13"/>
      <c r="E27" s="33"/>
    </row>
    <row r="28" spans="1:5" x14ac:dyDescent="0.25">
      <c r="A28" s="3">
        <v>5</v>
      </c>
      <c r="B28" s="2" t="s">
        <v>4</v>
      </c>
      <c r="C28" s="13"/>
      <c r="D28" s="13"/>
      <c r="E28" s="33"/>
    </row>
    <row r="29" spans="1:5" x14ac:dyDescent="0.25">
      <c r="A29" s="3">
        <v>6</v>
      </c>
      <c r="B29" s="2" t="s">
        <v>5</v>
      </c>
      <c r="C29" s="13">
        <v>23000</v>
      </c>
      <c r="D29" s="13">
        <v>24718.1</v>
      </c>
      <c r="E29" s="33">
        <f>D29/C29</f>
        <v>1.0747</v>
      </c>
    </row>
    <row r="30" spans="1:5" x14ac:dyDescent="0.25">
      <c r="A30" s="3">
        <v>7</v>
      </c>
      <c r="B30" s="2" t="s">
        <v>6</v>
      </c>
      <c r="C30" s="13"/>
      <c r="D30" s="13"/>
      <c r="E30" s="33"/>
    </row>
    <row r="31" spans="1:5" x14ac:dyDescent="0.25">
      <c r="A31" s="3">
        <v>8</v>
      </c>
      <c r="B31" s="2" t="s">
        <v>7</v>
      </c>
      <c r="C31" s="13"/>
      <c r="D31" s="13"/>
      <c r="E31" s="33"/>
    </row>
    <row r="32" spans="1:5" x14ac:dyDescent="0.25">
      <c r="A32" s="3">
        <v>9</v>
      </c>
      <c r="B32" s="2" t="s">
        <v>8</v>
      </c>
      <c r="C32" s="13"/>
      <c r="D32" s="13"/>
      <c r="E32" s="33"/>
    </row>
    <row r="33" spans="1:5" x14ac:dyDescent="0.25">
      <c r="A33" s="3">
        <v>10</v>
      </c>
      <c r="B33" s="2" t="s">
        <v>9</v>
      </c>
      <c r="C33" s="13">
        <v>45000</v>
      </c>
      <c r="D33" s="13">
        <v>23890.5</v>
      </c>
      <c r="E33" s="33">
        <f>D33/C33</f>
        <v>0.53090000000000004</v>
      </c>
    </row>
    <row r="34" spans="1:5" x14ac:dyDescent="0.25">
      <c r="A34" s="3">
        <v>11</v>
      </c>
      <c r="B34" s="2" t="s">
        <v>10</v>
      </c>
      <c r="C34" s="13"/>
      <c r="D34" s="13"/>
      <c r="E34" s="13"/>
    </row>
    <row r="35" spans="1:5" x14ac:dyDescent="0.25">
      <c r="A35" s="3">
        <v>12</v>
      </c>
      <c r="B35" s="2" t="s">
        <v>11</v>
      </c>
      <c r="C35" s="13"/>
      <c r="D35" s="13"/>
      <c r="E35" s="13"/>
    </row>
    <row r="36" spans="1:5" x14ac:dyDescent="0.25">
      <c r="C36" s="15"/>
      <c r="D36" s="15">
        <v>298600</v>
      </c>
      <c r="E36" s="15"/>
    </row>
    <row r="37" spans="1:5" x14ac:dyDescent="0.25">
      <c r="C37" s="15"/>
      <c r="D37" s="15"/>
      <c r="E37" s="15"/>
    </row>
    <row r="38" spans="1:5" x14ac:dyDescent="0.25">
      <c r="C38" s="15"/>
      <c r="D38" s="15"/>
      <c r="E38" s="15" t="s">
        <v>192</v>
      </c>
    </row>
    <row r="39" spans="1:5" x14ac:dyDescent="0.25">
      <c r="A39" t="s">
        <v>174</v>
      </c>
      <c r="C39" s="15"/>
      <c r="D39" s="15"/>
      <c r="E39" s="15"/>
    </row>
    <row r="40" spans="1:5" x14ac:dyDescent="0.25">
      <c r="A40" t="s">
        <v>176</v>
      </c>
      <c r="C40" s="15"/>
      <c r="D40" s="15"/>
      <c r="E40" s="15"/>
    </row>
    <row r="41" spans="1:5" x14ac:dyDescent="0.25">
      <c r="A41" s="4" t="s">
        <v>16</v>
      </c>
      <c r="B41" s="4" t="s">
        <v>14</v>
      </c>
      <c r="C41" s="16" t="s">
        <v>18</v>
      </c>
      <c r="D41" s="16" t="s">
        <v>19</v>
      </c>
      <c r="E41" s="16" t="s">
        <v>133</v>
      </c>
    </row>
    <row r="42" spans="1:5" x14ac:dyDescent="0.25">
      <c r="A42" s="3">
        <v>1</v>
      </c>
      <c r="B42" s="2" t="s">
        <v>0</v>
      </c>
      <c r="C42" s="13"/>
      <c r="D42" s="13"/>
      <c r="E42" s="13"/>
    </row>
    <row r="43" spans="1:5" x14ac:dyDescent="0.25">
      <c r="A43" s="3">
        <v>2</v>
      </c>
      <c r="B43" s="2" t="s">
        <v>1</v>
      </c>
      <c r="C43" s="13">
        <v>25000</v>
      </c>
      <c r="D43" s="13">
        <v>247743</v>
      </c>
      <c r="E43" s="33">
        <f>D43/C43</f>
        <v>9.9097200000000001</v>
      </c>
    </row>
    <row r="44" spans="1:5" x14ac:dyDescent="0.25">
      <c r="A44" s="3">
        <v>3</v>
      </c>
      <c r="B44" s="2" t="s">
        <v>2</v>
      </c>
      <c r="C44" s="13"/>
      <c r="D44" s="13"/>
      <c r="E44" s="33"/>
    </row>
    <row r="45" spans="1:5" x14ac:dyDescent="0.25">
      <c r="A45" s="3">
        <v>4</v>
      </c>
      <c r="B45" s="2" t="s">
        <v>3</v>
      </c>
      <c r="C45" s="13"/>
      <c r="D45" s="13"/>
      <c r="E45" s="33"/>
    </row>
    <row r="46" spans="1:5" x14ac:dyDescent="0.25">
      <c r="A46" s="3">
        <v>5</v>
      </c>
      <c r="B46" s="2" t="s">
        <v>4</v>
      </c>
      <c r="C46" s="13"/>
      <c r="D46" s="13"/>
      <c r="E46" s="33"/>
    </row>
    <row r="47" spans="1:5" x14ac:dyDescent="0.25">
      <c r="A47" s="3">
        <v>6</v>
      </c>
      <c r="B47" s="2" t="s">
        <v>5</v>
      </c>
      <c r="C47" s="13">
        <v>23000</v>
      </c>
      <c r="D47" s="13">
        <v>30454.300000000003</v>
      </c>
      <c r="E47" s="33">
        <f>D47/C47</f>
        <v>1.3241000000000001</v>
      </c>
    </row>
    <row r="48" spans="1:5" x14ac:dyDescent="0.25">
      <c r="A48" s="3">
        <v>7</v>
      </c>
      <c r="B48" s="2" t="s">
        <v>6</v>
      </c>
      <c r="C48" s="13"/>
      <c r="D48" s="13"/>
      <c r="E48" s="33"/>
    </row>
    <row r="49" spans="1:5" x14ac:dyDescent="0.25">
      <c r="A49" s="3">
        <v>8</v>
      </c>
      <c r="B49" s="2" t="s">
        <v>7</v>
      </c>
      <c r="C49" s="13"/>
      <c r="D49" s="13"/>
      <c r="E49" s="33"/>
    </row>
    <row r="50" spans="1:5" x14ac:dyDescent="0.25">
      <c r="A50" s="3">
        <v>9</v>
      </c>
      <c r="B50" s="2" t="s">
        <v>8</v>
      </c>
      <c r="C50" s="13"/>
      <c r="D50" s="13"/>
      <c r="E50" s="33"/>
    </row>
    <row r="51" spans="1:5" x14ac:dyDescent="0.25">
      <c r="A51" s="3">
        <v>10</v>
      </c>
      <c r="B51" s="2" t="s">
        <v>9</v>
      </c>
      <c r="C51" s="13">
        <v>45000</v>
      </c>
      <c r="D51" s="13">
        <v>35383.5</v>
      </c>
      <c r="E51" s="33">
        <f>D51/C51</f>
        <v>0.7863</v>
      </c>
    </row>
    <row r="52" spans="1:5" x14ac:dyDescent="0.25">
      <c r="A52" s="3">
        <v>11</v>
      </c>
      <c r="B52" s="2" t="s">
        <v>10</v>
      </c>
      <c r="C52" s="13"/>
      <c r="D52" s="13"/>
      <c r="E52" s="13"/>
    </row>
    <row r="53" spans="1:5" x14ac:dyDescent="0.25">
      <c r="A53" s="3">
        <v>12</v>
      </c>
      <c r="B53" s="2" t="s">
        <v>11</v>
      </c>
      <c r="C53" s="13"/>
      <c r="D53" s="13"/>
      <c r="E53" s="13"/>
    </row>
    <row r="54" spans="1:5" x14ac:dyDescent="0.25">
      <c r="D54" s="15"/>
    </row>
    <row r="55" spans="1:5" x14ac:dyDescent="0.25">
      <c r="D55" s="15"/>
    </row>
    <row r="56" spans="1:5" x14ac:dyDescent="0.25">
      <c r="D56" s="19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10000" scale="88" orientation="portrait" horizontalDpi="4294967294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F59"/>
  <sheetViews>
    <sheetView view="pageBreakPreview" topLeftCell="A40" zoomScaleNormal="100" zoomScaleSheetLayoutView="100" workbookViewId="0">
      <selection activeCell="L38" sqref="L38"/>
    </sheetView>
  </sheetViews>
  <sheetFormatPr defaultRowHeight="15" x14ac:dyDescent="0.25"/>
  <cols>
    <col min="1" max="1" width="6" style="6" customWidth="1"/>
    <col min="2" max="2" width="38.7109375" customWidth="1"/>
    <col min="3" max="3" width="14.7109375" customWidth="1"/>
    <col min="4" max="4" width="17" customWidth="1"/>
    <col min="5" max="5" width="14" customWidth="1"/>
    <col min="6" max="6" width="20.140625" customWidth="1"/>
  </cols>
  <sheetData>
    <row r="1" spans="1:6" x14ac:dyDescent="0.25">
      <c r="A1" s="7" t="s">
        <v>178</v>
      </c>
    </row>
    <row r="3" spans="1:6" x14ac:dyDescent="0.25">
      <c r="A3" s="7" t="s">
        <v>179</v>
      </c>
      <c r="B3" s="7"/>
      <c r="C3" s="7"/>
      <c r="D3" s="7"/>
      <c r="E3" s="7"/>
    </row>
    <row r="4" spans="1:6" x14ac:dyDescent="0.25">
      <c r="A4" s="7" t="s">
        <v>180</v>
      </c>
      <c r="B4" s="7"/>
      <c r="C4" s="7"/>
      <c r="D4" s="7"/>
      <c r="E4" s="7"/>
    </row>
    <row r="5" spans="1:6" x14ac:dyDescent="0.25">
      <c r="A5" s="4" t="s">
        <v>13</v>
      </c>
      <c r="B5" s="4" t="s">
        <v>20</v>
      </c>
      <c r="C5" s="4" t="s">
        <v>181</v>
      </c>
      <c r="D5" s="4" t="s">
        <v>182</v>
      </c>
      <c r="E5" s="4" t="s">
        <v>183</v>
      </c>
      <c r="F5" s="4" t="s">
        <v>21</v>
      </c>
    </row>
    <row r="6" spans="1:6" x14ac:dyDescent="0.25">
      <c r="A6" s="37" t="s">
        <v>142</v>
      </c>
      <c r="B6" s="37"/>
      <c r="C6" s="37"/>
      <c r="D6" s="37"/>
      <c r="E6" s="37"/>
      <c r="F6" s="37"/>
    </row>
    <row r="7" spans="1:6" x14ac:dyDescent="0.25">
      <c r="A7" s="3">
        <v>1</v>
      </c>
      <c r="B7" s="1" t="s">
        <v>23</v>
      </c>
      <c r="C7" s="1"/>
      <c r="D7" s="1"/>
      <c r="E7" s="1"/>
      <c r="F7" s="1">
        <f t="shared" ref="F7:F58" si="0">SUM(C7:E7)</f>
        <v>0</v>
      </c>
    </row>
    <row r="8" spans="1:6" x14ac:dyDescent="0.25">
      <c r="A8" s="3">
        <v>2</v>
      </c>
      <c r="B8" s="1" t="s">
        <v>24</v>
      </c>
      <c r="C8" s="14">
        <v>730</v>
      </c>
      <c r="D8" s="14">
        <v>710</v>
      </c>
      <c r="E8" s="14">
        <v>700</v>
      </c>
      <c r="F8" s="14">
        <f>SUM(C8:E8)</f>
        <v>2140</v>
      </c>
    </row>
    <row r="9" spans="1:6" x14ac:dyDescent="0.25">
      <c r="A9" s="3">
        <v>3</v>
      </c>
      <c r="B9" s="1" t="s">
        <v>26</v>
      </c>
      <c r="C9" s="14"/>
      <c r="D9" s="14"/>
      <c r="E9" s="14"/>
      <c r="F9" s="14">
        <f t="shared" si="0"/>
        <v>0</v>
      </c>
    </row>
    <row r="10" spans="1:6" x14ac:dyDescent="0.25">
      <c r="A10" s="3">
        <v>4</v>
      </c>
      <c r="B10" s="1" t="s">
        <v>27</v>
      </c>
      <c r="C10" s="14"/>
      <c r="D10" s="14"/>
      <c r="E10" s="14"/>
      <c r="F10" s="14">
        <f t="shared" si="0"/>
        <v>0</v>
      </c>
    </row>
    <row r="11" spans="1:6" x14ac:dyDescent="0.25">
      <c r="A11" s="3">
        <v>5</v>
      </c>
      <c r="B11" s="1" t="s">
        <v>28</v>
      </c>
      <c r="C11" s="14"/>
      <c r="D11" s="14"/>
      <c r="E11" s="14"/>
      <c r="F11" s="14">
        <f t="shared" si="0"/>
        <v>0</v>
      </c>
    </row>
    <row r="12" spans="1:6" x14ac:dyDescent="0.25">
      <c r="A12" s="3">
        <v>6</v>
      </c>
      <c r="B12" s="1" t="s">
        <v>29</v>
      </c>
      <c r="C12" s="14"/>
      <c r="D12" s="14"/>
      <c r="E12" s="14"/>
      <c r="F12" s="14">
        <f t="shared" si="0"/>
        <v>0</v>
      </c>
    </row>
    <row r="13" spans="1:6" x14ac:dyDescent="0.25">
      <c r="A13" s="3">
        <v>7</v>
      </c>
      <c r="B13" s="1" t="s">
        <v>32</v>
      </c>
      <c r="C13" s="14"/>
      <c r="D13" s="14"/>
      <c r="E13" s="14"/>
      <c r="F13" s="14">
        <f t="shared" si="0"/>
        <v>0</v>
      </c>
    </row>
    <row r="14" spans="1:6" x14ac:dyDescent="0.25">
      <c r="A14" s="3">
        <v>8</v>
      </c>
      <c r="B14" s="1" t="s">
        <v>33</v>
      </c>
      <c r="C14" s="14">
        <v>0</v>
      </c>
      <c r="D14" s="14">
        <v>0</v>
      </c>
      <c r="E14" s="14">
        <v>0</v>
      </c>
      <c r="F14" s="14">
        <f t="shared" si="0"/>
        <v>0</v>
      </c>
    </row>
    <row r="15" spans="1:6" x14ac:dyDescent="0.25">
      <c r="A15" s="3">
        <v>9</v>
      </c>
      <c r="B15" s="1" t="s">
        <v>34</v>
      </c>
      <c r="C15" s="14">
        <v>510</v>
      </c>
      <c r="D15" s="14">
        <v>515</v>
      </c>
      <c r="E15" s="14">
        <v>510</v>
      </c>
      <c r="F15" s="14">
        <f t="shared" si="0"/>
        <v>1535</v>
      </c>
    </row>
    <row r="16" spans="1:6" x14ac:dyDescent="0.25">
      <c r="A16" s="3">
        <v>10</v>
      </c>
      <c r="B16" s="1" t="s">
        <v>155</v>
      </c>
      <c r="C16" s="14"/>
      <c r="D16" s="14"/>
      <c r="E16" s="14"/>
      <c r="F16" s="14">
        <f t="shared" si="0"/>
        <v>0</v>
      </c>
    </row>
    <row r="17" spans="1:6" x14ac:dyDescent="0.25">
      <c r="A17" s="3">
        <v>11</v>
      </c>
      <c r="B17" s="1" t="s">
        <v>48</v>
      </c>
      <c r="C17" s="14">
        <v>12332</v>
      </c>
      <c r="D17" s="14">
        <v>11464</v>
      </c>
      <c r="E17" s="14">
        <v>12715</v>
      </c>
      <c r="F17" s="14">
        <f t="shared" si="0"/>
        <v>36511</v>
      </c>
    </row>
    <row r="18" spans="1:6" x14ac:dyDescent="0.25">
      <c r="A18" s="3">
        <v>12</v>
      </c>
      <c r="B18" s="1" t="s">
        <v>49</v>
      </c>
      <c r="C18" s="14"/>
      <c r="D18" s="14"/>
      <c r="E18" s="14"/>
      <c r="F18" s="14">
        <f t="shared" si="0"/>
        <v>0</v>
      </c>
    </row>
    <row r="19" spans="1:6" x14ac:dyDescent="0.25">
      <c r="A19" s="3">
        <v>13</v>
      </c>
      <c r="B19" s="1" t="s">
        <v>156</v>
      </c>
      <c r="C19" s="14">
        <v>95310</v>
      </c>
      <c r="D19" s="14">
        <v>93388</v>
      </c>
      <c r="E19" s="14">
        <v>96921</v>
      </c>
      <c r="F19" s="14">
        <f t="shared" si="0"/>
        <v>285619</v>
      </c>
    </row>
    <row r="20" spans="1:6" x14ac:dyDescent="0.25">
      <c r="A20" s="3">
        <v>14</v>
      </c>
      <c r="B20" s="1" t="s">
        <v>51</v>
      </c>
      <c r="C20" s="14"/>
      <c r="D20" s="14"/>
      <c r="E20" s="14"/>
      <c r="F20" s="14">
        <f t="shared" si="0"/>
        <v>0</v>
      </c>
    </row>
    <row r="21" spans="1:6" x14ac:dyDescent="0.25">
      <c r="A21" s="3">
        <v>15</v>
      </c>
      <c r="B21" s="1" t="s">
        <v>52</v>
      </c>
      <c r="C21" s="14">
        <v>151536</v>
      </c>
      <c r="D21" s="14">
        <v>149052</v>
      </c>
      <c r="E21" s="14">
        <v>159461</v>
      </c>
      <c r="F21" s="14">
        <f t="shared" si="0"/>
        <v>460049</v>
      </c>
    </row>
    <row r="22" spans="1:6" x14ac:dyDescent="0.25">
      <c r="A22" s="3">
        <v>16</v>
      </c>
      <c r="B22" s="1" t="s">
        <v>53</v>
      </c>
      <c r="C22" s="14"/>
      <c r="D22" s="14"/>
      <c r="E22" s="14"/>
      <c r="F22" s="14">
        <f t="shared" si="0"/>
        <v>0</v>
      </c>
    </row>
    <row r="23" spans="1:6" x14ac:dyDescent="0.25">
      <c r="A23" s="3">
        <v>17</v>
      </c>
      <c r="B23" s="1" t="s">
        <v>54</v>
      </c>
      <c r="C23" s="14">
        <v>7102</v>
      </c>
      <c r="D23" s="14">
        <v>6321</v>
      </c>
      <c r="E23" s="14">
        <v>7890</v>
      </c>
      <c r="F23" s="14">
        <f t="shared" si="0"/>
        <v>21313</v>
      </c>
    </row>
    <row r="24" spans="1:6" x14ac:dyDescent="0.25">
      <c r="A24" s="3">
        <v>18</v>
      </c>
      <c r="B24" s="1" t="s">
        <v>55</v>
      </c>
      <c r="C24" s="14"/>
      <c r="D24" s="14"/>
      <c r="E24" s="14"/>
      <c r="F24" s="14">
        <f t="shared" si="0"/>
        <v>0</v>
      </c>
    </row>
    <row r="25" spans="1:6" x14ac:dyDescent="0.25">
      <c r="A25" s="3">
        <v>19</v>
      </c>
      <c r="B25" s="1" t="s">
        <v>57</v>
      </c>
      <c r="C25" s="14"/>
      <c r="D25" s="14"/>
      <c r="E25" s="14"/>
      <c r="F25" s="14">
        <f t="shared" si="0"/>
        <v>0</v>
      </c>
    </row>
    <row r="26" spans="1:6" x14ac:dyDescent="0.25">
      <c r="A26" s="3">
        <v>20</v>
      </c>
      <c r="B26" s="1" t="s">
        <v>58</v>
      </c>
      <c r="C26" s="14"/>
      <c r="D26" s="14"/>
      <c r="E26" s="14"/>
      <c r="F26" s="14">
        <f t="shared" si="0"/>
        <v>0</v>
      </c>
    </row>
    <row r="27" spans="1:6" x14ac:dyDescent="0.25">
      <c r="A27" s="3">
        <v>21</v>
      </c>
      <c r="B27" s="1" t="s">
        <v>59</v>
      </c>
      <c r="C27" s="14"/>
      <c r="D27" s="14"/>
      <c r="E27" s="14"/>
      <c r="F27" s="14">
        <f t="shared" si="0"/>
        <v>0</v>
      </c>
    </row>
    <row r="28" spans="1:6" x14ac:dyDescent="0.25">
      <c r="A28" s="3">
        <v>22</v>
      </c>
      <c r="B28" s="1" t="s">
        <v>61</v>
      </c>
      <c r="C28" s="14"/>
      <c r="D28" s="14"/>
      <c r="E28" s="14"/>
      <c r="F28" s="14">
        <f t="shared" si="0"/>
        <v>0</v>
      </c>
    </row>
    <row r="29" spans="1:6" x14ac:dyDescent="0.25">
      <c r="A29" s="3">
        <v>23</v>
      </c>
      <c r="B29" s="1" t="s">
        <v>63</v>
      </c>
      <c r="C29" s="14"/>
      <c r="D29" s="14"/>
      <c r="E29" s="14"/>
      <c r="F29" s="14">
        <f t="shared" si="0"/>
        <v>0</v>
      </c>
    </row>
    <row r="30" spans="1:6" x14ac:dyDescent="0.25">
      <c r="A30" s="3">
        <v>24</v>
      </c>
      <c r="B30" s="1" t="s">
        <v>64</v>
      </c>
      <c r="C30" s="14"/>
      <c r="D30" s="14"/>
      <c r="E30" s="14"/>
      <c r="F30" s="14">
        <f t="shared" si="0"/>
        <v>0</v>
      </c>
    </row>
    <row r="31" spans="1:6" x14ac:dyDescent="0.25">
      <c r="A31" s="3">
        <v>25</v>
      </c>
      <c r="B31" s="1" t="s">
        <v>65</v>
      </c>
      <c r="C31" s="14"/>
      <c r="D31" s="14"/>
      <c r="E31" s="14"/>
      <c r="F31" s="14">
        <f t="shared" si="0"/>
        <v>0</v>
      </c>
    </row>
    <row r="32" spans="1:6" x14ac:dyDescent="0.25">
      <c r="A32" s="3">
        <v>26</v>
      </c>
      <c r="B32" s="1" t="s">
        <v>66</v>
      </c>
      <c r="C32" s="14"/>
      <c r="D32" s="14"/>
      <c r="E32" s="14"/>
      <c r="F32" s="14">
        <f t="shared" si="0"/>
        <v>0</v>
      </c>
    </row>
    <row r="33" spans="1:6" x14ac:dyDescent="0.25">
      <c r="A33" s="37" t="s">
        <v>148</v>
      </c>
      <c r="B33" s="37"/>
      <c r="C33" s="37"/>
      <c r="D33" s="37"/>
      <c r="E33" s="37"/>
      <c r="F33" s="37"/>
    </row>
    <row r="34" spans="1:6" x14ac:dyDescent="0.25">
      <c r="A34" s="3">
        <v>27</v>
      </c>
      <c r="B34" s="1" t="s">
        <v>22</v>
      </c>
      <c r="C34" s="1"/>
      <c r="D34" s="1"/>
      <c r="E34" s="1"/>
      <c r="F34" s="1">
        <f t="shared" si="0"/>
        <v>0</v>
      </c>
    </row>
    <row r="35" spans="1:6" x14ac:dyDescent="0.25">
      <c r="A35" s="3">
        <v>28</v>
      </c>
      <c r="B35" s="1" t="s">
        <v>37</v>
      </c>
      <c r="C35" s="1"/>
      <c r="D35" s="1"/>
      <c r="E35" s="1"/>
      <c r="F35" s="1">
        <f t="shared" si="0"/>
        <v>0</v>
      </c>
    </row>
    <row r="36" spans="1:6" x14ac:dyDescent="0.25">
      <c r="A36" s="3">
        <v>29</v>
      </c>
      <c r="B36" s="1" t="s">
        <v>36</v>
      </c>
      <c r="C36" s="1"/>
      <c r="D36" s="1"/>
      <c r="E36" s="1"/>
      <c r="F36" s="1">
        <f t="shared" si="0"/>
        <v>0</v>
      </c>
    </row>
    <row r="37" spans="1:6" x14ac:dyDescent="0.25">
      <c r="A37" s="3">
        <v>30</v>
      </c>
      <c r="B37" s="1" t="s">
        <v>38</v>
      </c>
      <c r="C37" s="1"/>
      <c r="D37" s="1"/>
      <c r="E37" s="1"/>
      <c r="F37" s="1">
        <f t="shared" si="0"/>
        <v>0</v>
      </c>
    </row>
    <row r="38" spans="1:6" x14ac:dyDescent="0.25">
      <c r="A38" s="3">
        <v>31</v>
      </c>
      <c r="B38" s="1" t="s">
        <v>40</v>
      </c>
      <c r="C38" s="1"/>
      <c r="D38" s="1"/>
      <c r="E38" s="1"/>
      <c r="F38" s="1">
        <f t="shared" si="0"/>
        <v>0</v>
      </c>
    </row>
    <row r="39" spans="1:6" x14ac:dyDescent="0.25">
      <c r="A39" s="3">
        <v>32</v>
      </c>
      <c r="B39" s="1" t="s">
        <v>159</v>
      </c>
      <c r="C39" s="1"/>
      <c r="D39" s="1"/>
      <c r="E39" s="1"/>
      <c r="F39" s="1"/>
    </row>
    <row r="40" spans="1:6" x14ac:dyDescent="0.25">
      <c r="A40" s="3">
        <v>33</v>
      </c>
      <c r="B40" s="1" t="s">
        <v>149</v>
      </c>
      <c r="C40" s="1"/>
      <c r="D40" s="1"/>
      <c r="E40" s="1"/>
      <c r="F40" s="1">
        <f t="shared" si="0"/>
        <v>0</v>
      </c>
    </row>
    <row r="41" spans="1:6" x14ac:dyDescent="0.25">
      <c r="A41" s="3">
        <v>34</v>
      </c>
      <c r="B41" s="1" t="s">
        <v>158</v>
      </c>
      <c r="C41" s="14">
        <v>28288</v>
      </c>
      <c r="D41" s="14">
        <v>23890</v>
      </c>
      <c r="E41" s="14">
        <v>35384</v>
      </c>
      <c r="F41" s="14">
        <f t="shared" si="0"/>
        <v>87562</v>
      </c>
    </row>
    <row r="42" spans="1:6" x14ac:dyDescent="0.25">
      <c r="A42" s="3">
        <v>35</v>
      </c>
      <c r="B42" s="1" t="s">
        <v>157</v>
      </c>
      <c r="C42" s="1"/>
      <c r="D42" s="1"/>
      <c r="E42" s="1"/>
      <c r="F42" s="1"/>
    </row>
    <row r="43" spans="1:6" x14ac:dyDescent="0.25">
      <c r="A43" s="3">
        <v>36</v>
      </c>
      <c r="B43" s="1" t="s">
        <v>69</v>
      </c>
      <c r="C43" s="1"/>
      <c r="D43" s="1"/>
      <c r="E43" s="1"/>
      <c r="F43" s="1">
        <f t="shared" si="0"/>
        <v>0</v>
      </c>
    </row>
    <row r="44" spans="1:6" x14ac:dyDescent="0.25">
      <c r="A44" s="37" t="s">
        <v>150</v>
      </c>
      <c r="B44" s="37"/>
      <c r="C44" s="37"/>
      <c r="D44" s="37"/>
      <c r="E44" s="37"/>
      <c r="F44" s="37"/>
    </row>
    <row r="45" spans="1:6" x14ac:dyDescent="0.25">
      <c r="A45" s="3">
        <v>37</v>
      </c>
      <c r="B45" s="1" t="s">
        <v>154</v>
      </c>
      <c r="C45" s="1"/>
      <c r="D45" s="1"/>
      <c r="E45" s="1"/>
      <c r="F45" s="1">
        <f t="shared" si="0"/>
        <v>0</v>
      </c>
    </row>
    <row r="46" spans="1:6" x14ac:dyDescent="0.25">
      <c r="A46" s="3">
        <v>38</v>
      </c>
      <c r="B46" s="1" t="s">
        <v>36</v>
      </c>
      <c r="C46" s="1"/>
      <c r="D46" s="1"/>
      <c r="E46" s="1"/>
      <c r="F46" s="1"/>
    </row>
    <row r="47" spans="1:6" x14ac:dyDescent="0.25">
      <c r="A47" s="3">
        <v>39</v>
      </c>
      <c r="B47" s="1" t="s">
        <v>37</v>
      </c>
      <c r="C47" s="1"/>
      <c r="D47" s="1"/>
      <c r="E47" s="1"/>
      <c r="F47" s="1">
        <f t="shared" si="0"/>
        <v>0</v>
      </c>
    </row>
    <row r="48" spans="1:6" x14ac:dyDescent="0.25">
      <c r="A48" s="3">
        <v>40</v>
      </c>
      <c r="B48" s="1" t="s">
        <v>159</v>
      </c>
      <c r="C48" s="1"/>
      <c r="D48" s="1"/>
      <c r="E48" s="1"/>
      <c r="F48" s="1"/>
    </row>
    <row r="49" spans="1:6" x14ac:dyDescent="0.25">
      <c r="A49" s="3">
        <v>41</v>
      </c>
      <c r="B49" s="1" t="s">
        <v>151</v>
      </c>
      <c r="C49" s="1"/>
      <c r="D49" s="1"/>
      <c r="E49" s="1"/>
      <c r="F49" s="1">
        <f t="shared" si="0"/>
        <v>0</v>
      </c>
    </row>
    <row r="50" spans="1:6" x14ac:dyDescent="0.25">
      <c r="A50" s="3">
        <v>42</v>
      </c>
      <c r="B50" s="1" t="s">
        <v>152</v>
      </c>
      <c r="C50" s="1"/>
      <c r="D50" s="1"/>
      <c r="E50" s="1"/>
      <c r="F50" s="1">
        <f t="shared" si="0"/>
        <v>0</v>
      </c>
    </row>
    <row r="51" spans="1:6" x14ac:dyDescent="0.25">
      <c r="A51" s="3">
        <v>43</v>
      </c>
      <c r="B51" s="1" t="s">
        <v>153</v>
      </c>
      <c r="C51" s="1"/>
      <c r="D51" s="1"/>
      <c r="E51" s="1"/>
      <c r="F51" s="1">
        <f t="shared" si="0"/>
        <v>0</v>
      </c>
    </row>
    <row r="52" spans="1:6" x14ac:dyDescent="0.25">
      <c r="A52" s="3">
        <v>44</v>
      </c>
      <c r="B52" s="1" t="s">
        <v>41</v>
      </c>
      <c r="C52" s="1"/>
      <c r="D52" s="1"/>
      <c r="E52" s="1"/>
      <c r="F52" s="1">
        <f t="shared" si="0"/>
        <v>0</v>
      </c>
    </row>
    <row r="53" spans="1:6" x14ac:dyDescent="0.25">
      <c r="A53" s="3">
        <v>45</v>
      </c>
      <c r="B53" s="1" t="s">
        <v>42</v>
      </c>
      <c r="C53" s="1"/>
      <c r="D53" s="1"/>
      <c r="E53" s="1"/>
      <c r="F53" s="1">
        <f t="shared" si="0"/>
        <v>0</v>
      </c>
    </row>
    <row r="54" spans="1:6" x14ac:dyDescent="0.25">
      <c r="A54" s="3">
        <v>46</v>
      </c>
      <c r="B54" s="1" t="s">
        <v>43</v>
      </c>
      <c r="C54" s="1"/>
      <c r="D54" s="1"/>
      <c r="E54" s="1"/>
      <c r="F54" s="1">
        <f t="shared" si="0"/>
        <v>0</v>
      </c>
    </row>
    <row r="55" spans="1:6" x14ac:dyDescent="0.25">
      <c r="A55" s="3">
        <v>47</v>
      </c>
      <c r="B55" s="1" t="s">
        <v>44</v>
      </c>
      <c r="C55" s="1"/>
      <c r="D55" s="1"/>
      <c r="E55" s="1"/>
      <c r="F55" s="1">
        <f t="shared" si="0"/>
        <v>0</v>
      </c>
    </row>
    <row r="56" spans="1:6" x14ac:dyDescent="0.25">
      <c r="A56" s="3">
        <v>48</v>
      </c>
      <c r="B56" s="1" t="s">
        <v>45</v>
      </c>
      <c r="C56" s="1"/>
      <c r="D56" s="1"/>
      <c r="E56" s="1"/>
      <c r="F56" s="1">
        <f t="shared" si="0"/>
        <v>0</v>
      </c>
    </row>
    <row r="57" spans="1:6" x14ac:dyDescent="0.25">
      <c r="A57" s="3">
        <v>49</v>
      </c>
      <c r="B57" s="1" t="s">
        <v>46</v>
      </c>
      <c r="C57" s="1"/>
      <c r="D57" s="1"/>
      <c r="E57" s="1"/>
      <c r="F57" s="1">
        <f t="shared" si="0"/>
        <v>0</v>
      </c>
    </row>
    <row r="58" spans="1:6" x14ac:dyDescent="0.25">
      <c r="A58" s="3">
        <v>50</v>
      </c>
      <c r="B58" s="1" t="s">
        <v>61</v>
      </c>
      <c r="C58" s="1"/>
      <c r="D58" s="1"/>
      <c r="E58" s="1"/>
      <c r="F58" s="1">
        <f t="shared" si="0"/>
        <v>0</v>
      </c>
    </row>
    <row r="59" spans="1:6" x14ac:dyDescent="0.25">
      <c r="A59" s="3"/>
      <c r="B59" s="1" t="s">
        <v>134</v>
      </c>
      <c r="C59" s="14">
        <f>SUM(C6:C58)</f>
        <v>295808</v>
      </c>
      <c r="D59" s="14">
        <f>SUM(D6:D58)</f>
        <v>285340</v>
      </c>
      <c r="E59" s="14">
        <f>SUM(E6:E58)</f>
        <v>313581</v>
      </c>
      <c r="F59" s="14">
        <f>SUM(F6:F58)</f>
        <v>894729</v>
      </c>
    </row>
  </sheetData>
  <mergeCells count="3">
    <mergeCell ref="A44:F44"/>
    <mergeCell ref="A33:F33"/>
    <mergeCell ref="A6:F6"/>
  </mergeCells>
  <pageMargins left="0.7" right="0.7" top="0.75" bottom="0.75" header="0.3" footer="0.3"/>
  <pageSetup paperSize="256" scale="79" orientation="portrait" horizont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48D92-E73E-477F-AC25-C19BA22DD51A}">
  <sheetPr>
    <tabColor theme="4"/>
  </sheetPr>
  <dimension ref="A1:O59"/>
  <sheetViews>
    <sheetView zoomScale="70" zoomScaleNormal="70" workbookViewId="0">
      <selection activeCell="Q53" sqref="Q53"/>
    </sheetView>
  </sheetViews>
  <sheetFormatPr defaultRowHeight="15" x14ac:dyDescent="0.25"/>
  <cols>
    <col min="1" max="1" width="6" style="6" customWidth="1"/>
    <col min="2" max="2" width="38.7109375" customWidth="1"/>
    <col min="3" max="3" width="20.28515625" hidden="1" customWidth="1"/>
    <col min="4" max="4" width="22.28515625" customWidth="1"/>
    <col min="5" max="5" width="21.28515625" hidden="1" customWidth="1"/>
    <col min="6" max="6" width="14" hidden="1" customWidth="1"/>
    <col min="7" max="7" width="18" hidden="1" customWidth="1"/>
    <col min="8" max="8" width="18.5703125" customWidth="1"/>
    <col min="9" max="9" width="14" hidden="1" customWidth="1"/>
    <col min="10" max="10" width="19.140625" hidden="1" customWidth="1"/>
    <col min="11" max="11" width="18.42578125" hidden="1" customWidth="1"/>
    <col min="12" max="12" width="20.28515625" customWidth="1"/>
    <col min="13" max="13" width="19.7109375" hidden="1" customWidth="1"/>
    <col min="14" max="14" width="23.42578125" hidden="1" customWidth="1"/>
    <col min="15" max="15" width="20.140625" customWidth="1"/>
    <col min="18" max="18" width="30.42578125" customWidth="1"/>
  </cols>
  <sheetData>
    <row r="1" spans="1:15" x14ac:dyDescent="0.25">
      <c r="A1" s="7" t="s">
        <v>178</v>
      </c>
    </row>
    <row r="3" spans="1:15" x14ac:dyDescent="0.25">
      <c r="A3" s="7" t="s">
        <v>179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5" x14ac:dyDescent="0.25">
      <c r="A4" s="7" t="s">
        <v>180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5" x14ac:dyDescent="0.25">
      <c r="A5" s="4" t="s">
        <v>13</v>
      </c>
      <c r="B5" s="4" t="s">
        <v>20</v>
      </c>
      <c r="C5" s="12" t="s">
        <v>0</v>
      </c>
      <c r="D5" s="12" t="s">
        <v>1</v>
      </c>
      <c r="E5" s="12" t="s">
        <v>2</v>
      </c>
      <c r="F5" s="12" t="s">
        <v>3</v>
      </c>
      <c r="G5" s="12" t="s">
        <v>4</v>
      </c>
      <c r="H5" s="12" t="s">
        <v>5</v>
      </c>
      <c r="I5" s="12" t="s">
        <v>6</v>
      </c>
      <c r="J5" s="12" t="s">
        <v>7</v>
      </c>
      <c r="K5" s="12" t="s">
        <v>8</v>
      </c>
      <c r="L5" s="12" t="s">
        <v>9</v>
      </c>
      <c r="M5" s="12" t="s">
        <v>10</v>
      </c>
      <c r="N5" s="12" t="s">
        <v>11</v>
      </c>
      <c r="O5" s="4" t="s">
        <v>21</v>
      </c>
    </row>
    <row r="6" spans="1:15" x14ac:dyDescent="0.25">
      <c r="A6" s="37" t="s">
        <v>142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</row>
    <row r="7" spans="1:15" x14ac:dyDescent="0.25">
      <c r="A7" s="3">
        <v>1</v>
      </c>
      <c r="B7" s="1" t="s">
        <v>23</v>
      </c>
      <c r="C7" s="1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>
        <f>SUM(C7:N7)</f>
        <v>0</v>
      </c>
    </row>
    <row r="8" spans="1:15" x14ac:dyDescent="0.25">
      <c r="A8" s="3">
        <v>2</v>
      </c>
      <c r="B8" s="1" t="s">
        <v>24</v>
      </c>
      <c r="C8" s="1"/>
      <c r="D8" s="13"/>
      <c r="E8" s="13"/>
      <c r="F8" s="13"/>
      <c r="G8" s="13"/>
      <c r="H8" s="13">
        <v>2140</v>
      </c>
      <c r="I8" s="13"/>
      <c r="J8" s="13"/>
      <c r="K8" s="13"/>
      <c r="L8" s="13"/>
      <c r="M8" s="13"/>
      <c r="N8" s="13"/>
      <c r="O8" s="13">
        <f t="shared" ref="O8:O32" si="0">SUM(C8:N8)</f>
        <v>2140</v>
      </c>
    </row>
    <row r="9" spans="1:15" x14ac:dyDescent="0.25">
      <c r="A9" s="3">
        <v>3</v>
      </c>
      <c r="B9" s="1" t="s">
        <v>26</v>
      </c>
      <c r="C9" s="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>
        <f t="shared" si="0"/>
        <v>0</v>
      </c>
    </row>
    <row r="10" spans="1:15" x14ac:dyDescent="0.25">
      <c r="A10" s="3">
        <v>4</v>
      </c>
      <c r="B10" s="1" t="s">
        <v>27</v>
      </c>
      <c r="C10" s="1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>
        <f t="shared" si="0"/>
        <v>0</v>
      </c>
    </row>
    <row r="11" spans="1:15" x14ac:dyDescent="0.25">
      <c r="A11" s="3">
        <v>5</v>
      </c>
      <c r="B11" s="1" t="s">
        <v>28</v>
      </c>
      <c r="C11" s="1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>
        <f t="shared" si="0"/>
        <v>0</v>
      </c>
    </row>
    <row r="12" spans="1:15" x14ac:dyDescent="0.25">
      <c r="A12" s="3">
        <v>6</v>
      </c>
      <c r="B12" s="1" t="s">
        <v>29</v>
      </c>
      <c r="C12" s="1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>
        <f t="shared" si="0"/>
        <v>0</v>
      </c>
    </row>
    <row r="13" spans="1:15" x14ac:dyDescent="0.25">
      <c r="A13" s="3">
        <v>7</v>
      </c>
      <c r="B13" s="1" t="s">
        <v>32</v>
      </c>
      <c r="C13" s="1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>
        <f t="shared" si="0"/>
        <v>0</v>
      </c>
    </row>
    <row r="14" spans="1:15" x14ac:dyDescent="0.25">
      <c r="A14" s="3">
        <v>8</v>
      </c>
      <c r="B14" s="1" t="s">
        <v>33</v>
      </c>
      <c r="C14" s="1"/>
      <c r="D14" s="13"/>
      <c r="E14" s="13"/>
      <c r="F14" s="13"/>
      <c r="G14" s="13"/>
      <c r="H14" s="13">
        <v>0</v>
      </c>
      <c r="I14" s="13"/>
      <c r="J14" s="13"/>
      <c r="K14" s="13"/>
      <c r="L14" s="13"/>
      <c r="M14" s="13"/>
      <c r="N14" s="13"/>
      <c r="O14" s="13">
        <f t="shared" si="0"/>
        <v>0</v>
      </c>
    </row>
    <row r="15" spans="1:15" x14ac:dyDescent="0.25">
      <c r="A15" s="3">
        <v>9</v>
      </c>
      <c r="B15" s="1" t="s">
        <v>34</v>
      </c>
      <c r="C15" s="1"/>
      <c r="D15" s="13"/>
      <c r="E15" s="13"/>
      <c r="F15" s="13"/>
      <c r="G15" s="13"/>
      <c r="H15" s="13">
        <v>1535</v>
      </c>
      <c r="I15" s="13"/>
      <c r="J15" s="13"/>
      <c r="K15" s="13"/>
      <c r="L15" s="13"/>
      <c r="M15" s="13"/>
      <c r="N15" s="13"/>
      <c r="O15" s="13">
        <f t="shared" si="0"/>
        <v>1535</v>
      </c>
    </row>
    <row r="16" spans="1:15" x14ac:dyDescent="0.25">
      <c r="A16" s="3">
        <v>10</v>
      </c>
      <c r="B16" s="1" t="s">
        <v>155</v>
      </c>
      <c r="C16" s="1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>
        <f t="shared" si="0"/>
        <v>0</v>
      </c>
    </row>
    <row r="17" spans="1:15" x14ac:dyDescent="0.25">
      <c r="A17" s="3">
        <v>11</v>
      </c>
      <c r="B17" s="1" t="s">
        <v>48</v>
      </c>
      <c r="C17" s="1"/>
      <c r="D17" s="13">
        <v>9073</v>
      </c>
      <c r="E17" s="13"/>
      <c r="F17" s="13"/>
      <c r="G17" s="13"/>
      <c r="H17" s="13">
        <v>27438</v>
      </c>
      <c r="I17" s="13"/>
      <c r="J17" s="13"/>
      <c r="K17" s="13"/>
      <c r="L17" s="13"/>
      <c r="M17" s="13"/>
      <c r="N17" s="13"/>
      <c r="O17" s="13">
        <f t="shared" si="0"/>
        <v>36511</v>
      </c>
    </row>
    <row r="18" spans="1:15" x14ac:dyDescent="0.25">
      <c r="A18" s="3">
        <v>12</v>
      </c>
      <c r="B18" s="1" t="s">
        <v>49</v>
      </c>
      <c r="C18" s="1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>
        <f t="shared" si="0"/>
        <v>0</v>
      </c>
    </row>
    <row r="19" spans="1:15" x14ac:dyDescent="0.25">
      <c r="A19" s="3">
        <v>13</v>
      </c>
      <c r="B19" s="1" t="s">
        <v>156</v>
      </c>
      <c r="C19" s="1"/>
      <c r="D19" s="13">
        <v>259432</v>
      </c>
      <c r="E19" s="13"/>
      <c r="F19" s="13"/>
      <c r="G19" s="13"/>
      <c r="H19" s="13">
        <v>26187</v>
      </c>
      <c r="I19" s="13"/>
      <c r="J19" s="13"/>
      <c r="K19" s="13"/>
      <c r="L19" s="13"/>
      <c r="M19" s="13"/>
      <c r="N19" s="13"/>
      <c r="O19" s="13">
        <f t="shared" si="0"/>
        <v>285619</v>
      </c>
    </row>
    <row r="20" spans="1:15" x14ac:dyDescent="0.25">
      <c r="A20" s="3">
        <v>14</v>
      </c>
      <c r="B20" s="1" t="s">
        <v>51</v>
      </c>
      <c r="C20" s="1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>
        <f t="shared" si="0"/>
        <v>0</v>
      </c>
    </row>
    <row r="21" spans="1:15" x14ac:dyDescent="0.25">
      <c r="A21" s="3">
        <v>15</v>
      </c>
      <c r="B21" s="1" t="s">
        <v>52</v>
      </c>
      <c r="C21" s="1"/>
      <c r="D21" s="13">
        <v>444130</v>
      </c>
      <c r="E21" s="13"/>
      <c r="F21" s="13"/>
      <c r="G21" s="13"/>
      <c r="H21" s="13">
        <v>15919</v>
      </c>
      <c r="I21" s="13"/>
      <c r="J21" s="13"/>
      <c r="K21" s="13"/>
      <c r="L21" s="13"/>
      <c r="M21" s="13"/>
      <c r="N21" s="13"/>
      <c r="O21" s="13">
        <f t="shared" si="0"/>
        <v>460049</v>
      </c>
    </row>
    <row r="22" spans="1:15" x14ac:dyDescent="0.25">
      <c r="A22" s="3">
        <v>16</v>
      </c>
      <c r="B22" s="1" t="s">
        <v>53</v>
      </c>
      <c r="C22" s="1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>
        <f t="shared" si="0"/>
        <v>0</v>
      </c>
    </row>
    <row r="23" spans="1:15" x14ac:dyDescent="0.25">
      <c r="A23" s="3">
        <v>17</v>
      </c>
      <c r="B23" s="1" t="s">
        <v>54</v>
      </c>
      <c r="C23" s="1"/>
      <c r="D23" s="13">
        <v>10582</v>
      </c>
      <c r="E23" s="13"/>
      <c r="F23" s="13"/>
      <c r="G23" s="13"/>
      <c r="H23" s="13">
        <v>10731</v>
      </c>
      <c r="I23" s="13"/>
      <c r="J23" s="13"/>
      <c r="K23" s="13"/>
      <c r="L23" s="13"/>
      <c r="M23" s="13"/>
      <c r="N23" s="13"/>
      <c r="O23" s="13">
        <f t="shared" si="0"/>
        <v>21313</v>
      </c>
    </row>
    <row r="24" spans="1:15" x14ac:dyDescent="0.25">
      <c r="A24" s="3">
        <v>18</v>
      </c>
      <c r="B24" s="1" t="s">
        <v>55</v>
      </c>
      <c r="C24" s="1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>
        <f t="shared" si="0"/>
        <v>0</v>
      </c>
    </row>
    <row r="25" spans="1:15" x14ac:dyDescent="0.25">
      <c r="A25" s="3">
        <v>19</v>
      </c>
      <c r="B25" s="1" t="s">
        <v>57</v>
      </c>
      <c r="C25" s="1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>
        <f t="shared" si="0"/>
        <v>0</v>
      </c>
    </row>
    <row r="26" spans="1:15" x14ac:dyDescent="0.25">
      <c r="A26" s="3">
        <v>20</v>
      </c>
      <c r="B26" s="1" t="s">
        <v>58</v>
      </c>
      <c r="C26" s="1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>
        <f t="shared" si="0"/>
        <v>0</v>
      </c>
    </row>
    <row r="27" spans="1:15" x14ac:dyDescent="0.25">
      <c r="A27" s="3">
        <v>21</v>
      </c>
      <c r="B27" s="1" t="s">
        <v>59</v>
      </c>
      <c r="C27" s="1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>
        <f t="shared" si="0"/>
        <v>0</v>
      </c>
    </row>
    <row r="28" spans="1:15" x14ac:dyDescent="0.25">
      <c r="A28" s="3">
        <v>22</v>
      </c>
      <c r="B28" s="1" t="s">
        <v>61</v>
      </c>
      <c r="C28" s="1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>
        <f t="shared" si="0"/>
        <v>0</v>
      </c>
    </row>
    <row r="29" spans="1:15" x14ac:dyDescent="0.25">
      <c r="A29" s="3">
        <v>23</v>
      </c>
      <c r="B29" s="1" t="s">
        <v>63</v>
      </c>
      <c r="C29" s="1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>
        <f t="shared" si="0"/>
        <v>0</v>
      </c>
    </row>
    <row r="30" spans="1:15" x14ac:dyDescent="0.25">
      <c r="A30" s="3">
        <v>24</v>
      </c>
      <c r="B30" s="1" t="s">
        <v>64</v>
      </c>
      <c r="C30" s="1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>
        <f t="shared" si="0"/>
        <v>0</v>
      </c>
    </row>
    <row r="31" spans="1:15" x14ac:dyDescent="0.25">
      <c r="A31" s="3">
        <v>25</v>
      </c>
      <c r="B31" s="1" t="s">
        <v>65</v>
      </c>
      <c r="C31" s="1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>
        <f t="shared" si="0"/>
        <v>0</v>
      </c>
    </row>
    <row r="32" spans="1:15" x14ac:dyDescent="0.25">
      <c r="A32" s="3">
        <v>26</v>
      </c>
      <c r="B32" s="1" t="s">
        <v>66</v>
      </c>
      <c r="C32" s="1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>
        <f t="shared" si="0"/>
        <v>0</v>
      </c>
    </row>
    <row r="33" spans="1:15" x14ac:dyDescent="0.25">
      <c r="A33" s="37" t="s">
        <v>148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</row>
    <row r="34" spans="1:15" x14ac:dyDescent="0.25">
      <c r="A34" s="3">
        <v>27</v>
      </c>
      <c r="B34" s="1" t="s">
        <v>22</v>
      </c>
      <c r="C34" s="1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>
        <f>SUM(C34:N34)</f>
        <v>0</v>
      </c>
    </row>
    <row r="35" spans="1:15" x14ac:dyDescent="0.25">
      <c r="A35" s="3">
        <v>28</v>
      </c>
      <c r="B35" s="1" t="s">
        <v>37</v>
      </c>
      <c r="C35" s="1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>
        <f t="shared" ref="O35:O43" si="1">SUM(C35:N35)</f>
        <v>0</v>
      </c>
    </row>
    <row r="36" spans="1:15" x14ac:dyDescent="0.25">
      <c r="A36" s="3">
        <v>29</v>
      </c>
      <c r="B36" s="1" t="s">
        <v>36</v>
      </c>
      <c r="C36" s="1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>
        <f t="shared" si="1"/>
        <v>0</v>
      </c>
    </row>
    <row r="37" spans="1:15" x14ac:dyDescent="0.25">
      <c r="A37" s="3">
        <v>30</v>
      </c>
      <c r="B37" s="1" t="s">
        <v>38</v>
      </c>
      <c r="C37" s="1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>
        <f t="shared" si="1"/>
        <v>0</v>
      </c>
    </row>
    <row r="38" spans="1:15" x14ac:dyDescent="0.25">
      <c r="A38" s="3">
        <v>31</v>
      </c>
      <c r="B38" s="1" t="s">
        <v>40</v>
      </c>
      <c r="C38" s="1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>
        <f t="shared" si="1"/>
        <v>0</v>
      </c>
    </row>
    <row r="39" spans="1:15" x14ac:dyDescent="0.25">
      <c r="A39" s="3">
        <v>32</v>
      </c>
      <c r="B39" s="1" t="s">
        <v>159</v>
      </c>
      <c r="C39" s="1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>
        <f t="shared" si="1"/>
        <v>0</v>
      </c>
    </row>
    <row r="40" spans="1:15" x14ac:dyDescent="0.25">
      <c r="A40" s="3">
        <v>33</v>
      </c>
      <c r="B40" s="1" t="s">
        <v>149</v>
      </c>
      <c r="C40" s="1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>
        <f t="shared" si="1"/>
        <v>0</v>
      </c>
    </row>
    <row r="41" spans="1:15" x14ac:dyDescent="0.25">
      <c r="A41" s="3">
        <v>34</v>
      </c>
      <c r="B41" s="1" t="s">
        <v>158</v>
      </c>
      <c r="C41" s="1"/>
      <c r="D41" s="13"/>
      <c r="E41" s="13"/>
      <c r="F41" s="13"/>
      <c r="G41" s="13"/>
      <c r="H41" s="13"/>
      <c r="I41" s="13"/>
      <c r="J41" s="13"/>
      <c r="K41" s="13"/>
      <c r="L41" s="13">
        <v>87562</v>
      </c>
      <c r="M41" s="13"/>
      <c r="N41" s="13"/>
      <c r="O41" s="13">
        <f t="shared" si="1"/>
        <v>87562</v>
      </c>
    </row>
    <row r="42" spans="1:15" x14ac:dyDescent="0.25">
      <c r="A42" s="3">
        <v>35</v>
      </c>
      <c r="B42" s="1" t="s">
        <v>157</v>
      </c>
      <c r="C42" s="1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>
        <f t="shared" si="1"/>
        <v>0</v>
      </c>
    </row>
    <row r="43" spans="1:15" x14ac:dyDescent="0.25">
      <c r="A43" s="3">
        <v>36</v>
      </c>
      <c r="B43" s="1" t="s">
        <v>69</v>
      </c>
      <c r="C43" s="1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>
        <f t="shared" si="1"/>
        <v>0</v>
      </c>
    </row>
    <row r="44" spans="1:15" x14ac:dyDescent="0.25">
      <c r="A44" s="37" t="s">
        <v>150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</row>
    <row r="45" spans="1:15" x14ac:dyDescent="0.25">
      <c r="A45" s="3">
        <v>37</v>
      </c>
      <c r="B45" s="1" t="s">
        <v>154</v>
      </c>
      <c r="C45" s="1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>
        <f>SUM(C45:N45)</f>
        <v>0</v>
      </c>
    </row>
    <row r="46" spans="1:15" x14ac:dyDescent="0.25">
      <c r="A46" s="3">
        <v>38</v>
      </c>
      <c r="B46" s="1" t="s">
        <v>36</v>
      </c>
      <c r="C46" s="1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>
        <f t="shared" ref="O46:O58" si="2">SUM(C46:N46)</f>
        <v>0</v>
      </c>
    </row>
    <row r="47" spans="1:15" x14ac:dyDescent="0.25">
      <c r="A47" s="3">
        <v>39</v>
      </c>
      <c r="B47" s="1" t="s">
        <v>37</v>
      </c>
      <c r="C47" s="1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>
        <f t="shared" si="2"/>
        <v>0</v>
      </c>
    </row>
    <row r="48" spans="1:15" x14ac:dyDescent="0.25">
      <c r="A48" s="3">
        <v>40</v>
      </c>
      <c r="B48" s="1" t="s">
        <v>159</v>
      </c>
      <c r="C48" s="1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>
        <f t="shared" si="2"/>
        <v>0</v>
      </c>
    </row>
    <row r="49" spans="1:15" x14ac:dyDescent="0.25">
      <c r="A49" s="3">
        <v>41</v>
      </c>
      <c r="B49" s="1" t="s">
        <v>151</v>
      </c>
      <c r="C49" s="1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>
        <f t="shared" si="2"/>
        <v>0</v>
      </c>
    </row>
    <row r="50" spans="1:15" x14ac:dyDescent="0.25">
      <c r="A50" s="3">
        <v>42</v>
      </c>
      <c r="B50" s="1" t="s">
        <v>152</v>
      </c>
      <c r="C50" s="1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>
        <f t="shared" si="2"/>
        <v>0</v>
      </c>
    </row>
    <row r="51" spans="1:15" x14ac:dyDescent="0.25">
      <c r="A51" s="3">
        <v>43</v>
      </c>
      <c r="B51" s="1" t="s">
        <v>153</v>
      </c>
      <c r="C51" s="1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>
        <f t="shared" si="2"/>
        <v>0</v>
      </c>
    </row>
    <row r="52" spans="1:15" x14ac:dyDescent="0.25">
      <c r="A52" s="3">
        <v>44</v>
      </c>
      <c r="B52" s="1" t="s">
        <v>41</v>
      </c>
      <c r="C52" s="1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>
        <f t="shared" si="2"/>
        <v>0</v>
      </c>
    </row>
    <row r="53" spans="1:15" x14ac:dyDescent="0.25">
      <c r="A53" s="3">
        <v>45</v>
      </c>
      <c r="B53" s="1" t="s">
        <v>42</v>
      </c>
      <c r="C53" s="1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>
        <f t="shared" si="2"/>
        <v>0</v>
      </c>
    </row>
    <row r="54" spans="1:15" x14ac:dyDescent="0.25">
      <c r="A54" s="3">
        <v>46</v>
      </c>
      <c r="B54" s="1" t="s">
        <v>43</v>
      </c>
      <c r="C54" s="1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>
        <f t="shared" si="2"/>
        <v>0</v>
      </c>
    </row>
    <row r="55" spans="1:15" x14ac:dyDescent="0.25">
      <c r="A55" s="3">
        <v>47</v>
      </c>
      <c r="B55" s="1" t="s">
        <v>44</v>
      </c>
      <c r="C55" s="1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>
        <f t="shared" si="2"/>
        <v>0</v>
      </c>
    </row>
    <row r="56" spans="1:15" x14ac:dyDescent="0.25">
      <c r="A56" s="3">
        <v>48</v>
      </c>
      <c r="B56" s="1" t="s">
        <v>45</v>
      </c>
      <c r="C56" s="1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>
        <f t="shared" si="2"/>
        <v>0</v>
      </c>
    </row>
    <row r="57" spans="1:15" x14ac:dyDescent="0.25">
      <c r="A57" s="3">
        <v>49</v>
      </c>
      <c r="B57" s="1" t="s">
        <v>46</v>
      </c>
      <c r="C57" s="1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>
        <f t="shared" si="2"/>
        <v>0</v>
      </c>
    </row>
    <row r="58" spans="1:15" x14ac:dyDescent="0.25">
      <c r="A58" s="3">
        <v>50</v>
      </c>
      <c r="B58" s="1" t="s">
        <v>61</v>
      </c>
      <c r="C58" s="1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>
        <f t="shared" si="2"/>
        <v>0</v>
      </c>
    </row>
    <row r="59" spans="1:15" x14ac:dyDescent="0.25">
      <c r="A59" s="3"/>
      <c r="B59" s="1" t="s">
        <v>134</v>
      </c>
      <c r="C59" s="1">
        <f>SUM(C6:C58)</f>
        <v>0</v>
      </c>
      <c r="D59" s="13">
        <f>SUM(D6:D58)</f>
        <v>723217</v>
      </c>
      <c r="E59" s="13">
        <f>SUM(E6:E58)</f>
        <v>0</v>
      </c>
      <c r="F59" s="13"/>
      <c r="G59" s="13"/>
      <c r="H59" s="13"/>
      <c r="I59" s="13"/>
      <c r="J59" s="13"/>
      <c r="K59" s="13"/>
      <c r="L59" s="13">
        <f t="shared" ref="L59:N59" si="3">SUM(L6:L58)</f>
        <v>87562</v>
      </c>
      <c r="M59" s="13">
        <f t="shared" si="3"/>
        <v>0</v>
      </c>
      <c r="N59" s="13">
        <f t="shared" si="3"/>
        <v>0</v>
      </c>
      <c r="O59" s="13">
        <f>SUM(O6:O58)</f>
        <v>894729</v>
      </c>
    </row>
  </sheetData>
  <mergeCells count="3">
    <mergeCell ref="A6:O6"/>
    <mergeCell ref="A33:O33"/>
    <mergeCell ref="A44:O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00B6-5A8D-4B7A-8474-7476DD2D7253}">
  <sheetPr>
    <tabColor theme="4"/>
  </sheetPr>
  <dimension ref="A1:M30"/>
  <sheetViews>
    <sheetView workbookViewId="0">
      <selection activeCell="C16" sqref="C16"/>
    </sheetView>
  </sheetViews>
  <sheetFormatPr defaultRowHeight="15" x14ac:dyDescent="0.25"/>
  <cols>
    <col min="1" max="1" width="4.7109375" customWidth="1"/>
    <col min="2" max="2" width="17.5703125" customWidth="1"/>
    <col min="3" max="3" width="12.85546875" customWidth="1"/>
    <col min="4" max="4" width="20.28515625" bestFit="1" customWidth="1"/>
    <col min="5" max="5" width="12.85546875" customWidth="1"/>
    <col min="6" max="6" width="19.28515625" bestFit="1" customWidth="1"/>
    <col min="7" max="7" width="12.85546875" customWidth="1"/>
    <col min="8" max="8" width="20.140625" customWidth="1"/>
    <col min="9" max="9" width="12.85546875" customWidth="1"/>
    <col min="10" max="10" width="20.28515625" bestFit="1" customWidth="1"/>
    <col min="12" max="13" width="18" bestFit="1" customWidth="1"/>
  </cols>
  <sheetData>
    <row r="1" spans="1:13" x14ac:dyDescent="0.25">
      <c r="A1" t="s">
        <v>201</v>
      </c>
    </row>
    <row r="3" spans="1:13" x14ac:dyDescent="0.25">
      <c r="A3" s="7" t="s">
        <v>179</v>
      </c>
      <c r="B3" s="7"/>
    </row>
    <row r="4" spans="1:13" x14ac:dyDescent="0.25">
      <c r="A4" s="7" t="s">
        <v>202</v>
      </c>
      <c r="B4" s="7"/>
    </row>
    <row r="5" spans="1:13" x14ac:dyDescent="0.25">
      <c r="A5" s="36" t="s">
        <v>16</v>
      </c>
      <c r="B5" s="36" t="s">
        <v>141</v>
      </c>
      <c r="C5" s="36" t="s">
        <v>142</v>
      </c>
      <c r="D5" s="36"/>
      <c r="E5" s="36" t="s">
        <v>143</v>
      </c>
      <c r="F5" s="36"/>
      <c r="G5" s="36" t="s">
        <v>144</v>
      </c>
      <c r="H5" s="36"/>
      <c r="I5" s="36" t="s">
        <v>147</v>
      </c>
      <c r="J5" s="36"/>
      <c r="K5" t="s">
        <v>192</v>
      </c>
    </row>
    <row r="6" spans="1:13" x14ac:dyDescent="0.25">
      <c r="A6" s="36"/>
      <c r="B6" s="36"/>
      <c r="C6" s="11" t="s">
        <v>145</v>
      </c>
      <c r="D6" s="11" t="s">
        <v>146</v>
      </c>
      <c r="E6" s="11" t="s">
        <v>145</v>
      </c>
      <c r="F6" s="11" t="s">
        <v>146</v>
      </c>
      <c r="G6" s="11" t="s">
        <v>145</v>
      </c>
      <c r="H6" s="11" t="s">
        <v>146</v>
      </c>
      <c r="I6" s="11" t="s">
        <v>145</v>
      </c>
      <c r="J6" s="11" t="s">
        <v>146</v>
      </c>
    </row>
    <row r="7" spans="1:13" x14ac:dyDescent="0.25">
      <c r="A7" s="3">
        <v>1</v>
      </c>
      <c r="B7" s="1" t="s">
        <v>184</v>
      </c>
      <c r="C7" s="20">
        <v>416584.41160000005</v>
      </c>
      <c r="D7" s="21">
        <v>10785546156.799999</v>
      </c>
      <c r="E7" s="13"/>
      <c r="F7" s="22"/>
      <c r="G7" s="13">
        <v>52537.2</v>
      </c>
      <c r="H7" s="23">
        <v>4465662000</v>
      </c>
      <c r="I7" s="24">
        <v>469121.61160000006</v>
      </c>
      <c r="J7" s="25">
        <v>15251208156.799999</v>
      </c>
      <c r="L7" s="19"/>
      <c r="M7" s="15"/>
    </row>
    <row r="8" spans="1:13" x14ac:dyDescent="0.25">
      <c r="A8" s="3">
        <v>2</v>
      </c>
      <c r="B8" s="1" t="s">
        <v>185</v>
      </c>
      <c r="C8" s="20">
        <v>307600.23320000008</v>
      </c>
      <c r="D8" s="26">
        <v>7993302096.5000019</v>
      </c>
      <c r="E8" s="13"/>
      <c r="F8" s="22"/>
      <c r="G8" s="13">
        <v>17512.399999999998</v>
      </c>
      <c r="H8" s="23">
        <v>1138305999.9999998</v>
      </c>
      <c r="I8" s="24">
        <v>325112.6332000001</v>
      </c>
      <c r="J8" s="25">
        <v>9131608096.5000019</v>
      </c>
      <c r="L8" s="19"/>
      <c r="M8" s="15"/>
    </row>
    <row r="9" spans="1:13" x14ac:dyDescent="0.25">
      <c r="A9" s="3">
        <v>3</v>
      </c>
      <c r="B9" s="1" t="s">
        <v>186</v>
      </c>
      <c r="C9" s="20">
        <v>29881.861000000001</v>
      </c>
      <c r="D9" s="26">
        <v>683947861</v>
      </c>
      <c r="E9" s="1"/>
      <c r="F9" s="1"/>
      <c r="G9" s="1"/>
      <c r="H9" s="1"/>
      <c r="I9" s="24">
        <v>29881.861000000001</v>
      </c>
      <c r="J9" s="25">
        <v>683947861</v>
      </c>
    </row>
    <row r="10" spans="1:13" x14ac:dyDescent="0.25">
      <c r="A10" s="3">
        <v>4</v>
      </c>
      <c r="B10" s="1" t="s">
        <v>187</v>
      </c>
      <c r="C10" s="20">
        <v>1350.9069999999999</v>
      </c>
      <c r="D10" s="26">
        <v>27018140</v>
      </c>
      <c r="E10" s="1"/>
      <c r="F10" s="1"/>
      <c r="G10" s="1"/>
      <c r="H10" s="1"/>
      <c r="I10" s="24">
        <v>1350.9069999999999</v>
      </c>
      <c r="J10" s="25">
        <v>27018140</v>
      </c>
    </row>
    <row r="11" spans="1:13" x14ac:dyDescent="0.25">
      <c r="A11" s="3">
        <v>5</v>
      </c>
      <c r="B11" s="1" t="s">
        <v>188</v>
      </c>
      <c r="C11" s="20">
        <v>22569.502300000004</v>
      </c>
      <c r="D11" s="26">
        <v>474447098.69999999</v>
      </c>
      <c r="E11" s="1"/>
      <c r="F11" s="1"/>
      <c r="G11" s="1"/>
      <c r="H11" s="1"/>
      <c r="I11" s="24">
        <v>22569.502300000004</v>
      </c>
      <c r="J11" s="25">
        <v>474447098.69999999</v>
      </c>
    </row>
    <row r="12" spans="1:13" x14ac:dyDescent="0.25">
      <c r="A12" s="3">
        <v>6</v>
      </c>
      <c r="B12" s="1" t="s">
        <v>189</v>
      </c>
      <c r="C12" s="20">
        <v>37839.035600000003</v>
      </c>
      <c r="D12" s="26">
        <v>1608061992.9999998</v>
      </c>
      <c r="E12" s="1"/>
      <c r="F12" s="1"/>
      <c r="G12" s="1"/>
      <c r="H12" s="1"/>
      <c r="I12" s="24">
        <v>37839.035600000003</v>
      </c>
      <c r="J12" s="25">
        <v>1608061992.9999998</v>
      </c>
    </row>
    <row r="13" spans="1:13" x14ac:dyDescent="0.25">
      <c r="A13" s="3">
        <v>7</v>
      </c>
      <c r="B13" s="1" t="s">
        <v>190</v>
      </c>
      <c r="C13" s="20">
        <v>0</v>
      </c>
      <c r="D13" s="26">
        <v>0</v>
      </c>
      <c r="E13" s="1"/>
      <c r="F13" s="1"/>
      <c r="G13" s="1"/>
      <c r="H13" s="1"/>
      <c r="I13" s="24">
        <v>0</v>
      </c>
      <c r="J13" s="25">
        <v>0</v>
      </c>
    </row>
    <row r="14" spans="1:13" x14ac:dyDescent="0.25">
      <c r="A14" s="3">
        <v>8</v>
      </c>
      <c r="B14" s="1" t="s">
        <v>200</v>
      </c>
      <c r="C14" s="20">
        <v>7494.7709999999997</v>
      </c>
      <c r="D14" s="26">
        <v>174080641</v>
      </c>
      <c r="E14" s="1"/>
      <c r="F14" s="1"/>
      <c r="G14" s="1"/>
      <c r="H14" s="1"/>
      <c r="I14" s="24">
        <v>7494.7709999999997</v>
      </c>
      <c r="J14" s="25">
        <v>174080641</v>
      </c>
    </row>
    <row r="15" spans="1:13" x14ac:dyDescent="0.25">
      <c r="A15" s="3">
        <v>9</v>
      </c>
      <c r="B15" s="1" t="s">
        <v>191</v>
      </c>
      <c r="C15" s="20">
        <v>1358.6783</v>
      </c>
      <c r="D15" s="26">
        <v>28606013</v>
      </c>
      <c r="E15" s="1"/>
      <c r="F15" s="1"/>
      <c r="G15" s="1"/>
      <c r="H15" s="1"/>
      <c r="I15" s="24">
        <v>1358.6783</v>
      </c>
      <c r="J15" s="25">
        <v>28606013</v>
      </c>
    </row>
    <row r="16" spans="1:13" x14ac:dyDescent="0.25">
      <c r="C16" s="27">
        <f>SUM(C7:C15)</f>
        <v>824679.40000000014</v>
      </c>
      <c r="D16" s="34">
        <f>SUM(D7:D15)</f>
        <v>21775010000.000004</v>
      </c>
      <c r="E16" s="27">
        <v>0</v>
      </c>
      <c r="F16" s="27">
        <v>0</v>
      </c>
      <c r="G16" s="27">
        <f>SUM(G7:G15)</f>
        <v>70049.599999999991</v>
      </c>
      <c r="H16" s="35">
        <f>SUM(H7:H15)</f>
        <v>5603968000</v>
      </c>
      <c r="I16" s="27">
        <f>SUM(I7:I15)</f>
        <v>894729.00000000023</v>
      </c>
      <c r="J16" s="35">
        <f>SUM(J7:J15)</f>
        <v>27378978000.000004</v>
      </c>
    </row>
    <row r="17" spans="3:10" x14ac:dyDescent="0.25">
      <c r="C17" s="19"/>
      <c r="J17" s="29"/>
    </row>
    <row r="18" spans="3:10" x14ac:dyDescent="0.25">
      <c r="C18" s="15"/>
    </row>
    <row r="21" spans="3:10" x14ac:dyDescent="0.25">
      <c r="C21" s="15"/>
      <c r="D21" s="15"/>
      <c r="E21" s="15"/>
      <c r="F21" s="15"/>
      <c r="G21" s="15"/>
      <c r="H21" s="15"/>
      <c r="I21" s="15"/>
      <c r="J21" s="15"/>
    </row>
    <row r="22" spans="3:10" x14ac:dyDescent="0.25">
      <c r="C22" s="15"/>
      <c r="D22" s="15"/>
      <c r="E22" s="15"/>
      <c r="F22" s="15"/>
      <c r="G22" s="15"/>
      <c r="H22" s="15"/>
      <c r="I22" s="15"/>
      <c r="J22" s="15"/>
    </row>
    <row r="23" spans="3:10" x14ac:dyDescent="0.25">
      <c r="C23" s="15"/>
      <c r="D23" s="15"/>
      <c r="E23" s="15"/>
      <c r="F23" s="15"/>
      <c r="G23" s="15"/>
      <c r="H23" s="15"/>
      <c r="I23" s="15"/>
      <c r="J23" s="15"/>
    </row>
    <row r="24" spans="3:10" x14ac:dyDescent="0.25">
      <c r="C24" s="15"/>
      <c r="D24" s="15"/>
      <c r="E24" s="15"/>
      <c r="F24" s="15"/>
      <c r="G24" s="15"/>
      <c r="H24" s="15"/>
      <c r="I24" s="15"/>
      <c r="J24" s="15"/>
    </row>
    <row r="25" spans="3:10" x14ac:dyDescent="0.25">
      <c r="C25" s="15"/>
      <c r="D25" s="15"/>
      <c r="E25" s="15"/>
      <c r="F25" s="15"/>
      <c r="G25" s="15"/>
      <c r="H25" s="15"/>
      <c r="I25" s="15"/>
      <c r="J25" s="15"/>
    </row>
    <row r="26" spans="3:10" x14ac:dyDescent="0.25">
      <c r="C26" s="15"/>
      <c r="D26" s="15"/>
      <c r="E26" s="15"/>
      <c r="F26" s="15"/>
      <c r="G26" s="15"/>
      <c r="H26" s="15"/>
      <c r="I26" s="15"/>
      <c r="J26" s="15"/>
    </row>
    <row r="27" spans="3:10" x14ac:dyDescent="0.25">
      <c r="C27" s="15"/>
      <c r="D27" s="15"/>
      <c r="E27" s="15"/>
      <c r="F27" s="15"/>
      <c r="G27" s="15"/>
      <c r="H27" s="15"/>
      <c r="I27" s="15"/>
      <c r="J27" s="15"/>
    </row>
    <row r="28" spans="3:10" x14ac:dyDescent="0.25">
      <c r="C28" s="15"/>
      <c r="D28" s="15"/>
      <c r="E28" s="15"/>
      <c r="F28" s="15"/>
      <c r="G28" s="15"/>
      <c r="H28" s="15"/>
      <c r="I28" s="15"/>
      <c r="J28" s="15"/>
    </row>
    <row r="29" spans="3:10" x14ac:dyDescent="0.25">
      <c r="C29" s="15"/>
      <c r="D29" s="15"/>
      <c r="E29" s="15"/>
      <c r="F29" s="15"/>
      <c r="G29" s="15"/>
      <c r="H29" s="15"/>
      <c r="I29" s="15"/>
      <c r="J29" s="15"/>
    </row>
    <row r="30" spans="3:10" x14ac:dyDescent="0.25">
      <c r="C30" s="15"/>
      <c r="D30" s="15"/>
      <c r="E30" s="15"/>
      <c r="F30" s="15"/>
      <c r="G30" s="15"/>
      <c r="H30" s="15"/>
      <c r="I30" s="15"/>
      <c r="J30" s="15"/>
    </row>
  </sheetData>
  <mergeCells count="6">
    <mergeCell ref="I5:J5"/>
    <mergeCell ref="A5:A6"/>
    <mergeCell ref="B5:B6"/>
    <mergeCell ref="C5:D5"/>
    <mergeCell ref="E5:F5"/>
    <mergeCell ref="G5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N55"/>
  <sheetViews>
    <sheetView view="pageBreakPreview" topLeftCell="A4" zoomScale="115" zoomScaleNormal="100" zoomScaleSheetLayoutView="115" workbookViewId="0">
      <pane xSplit="2" ySplit="3" topLeftCell="F7" activePane="bottomRight" state="frozen"/>
      <selection activeCell="A4" sqref="A4"/>
      <selection pane="topRight" activeCell="C4" sqref="C4"/>
      <selection pane="bottomLeft" activeCell="A7" sqref="A7"/>
      <selection pane="bottomRight" activeCell="M53" sqref="M53"/>
    </sheetView>
  </sheetViews>
  <sheetFormatPr defaultRowHeight="15" x14ac:dyDescent="0.25"/>
  <cols>
    <col min="1" max="1" width="6" customWidth="1"/>
    <col min="2" max="2" width="37.5703125" customWidth="1"/>
    <col min="3" max="3" width="11" customWidth="1"/>
    <col min="4" max="4" width="9.42578125" customWidth="1"/>
    <col min="5" max="5" width="10.28515625" customWidth="1"/>
    <col min="6" max="6" width="10" customWidth="1"/>
    <col min="7" max="11" width="11" customWidth="1"/>
    <col min="12" max="12" width="9.85546875" customWidth="1"/>
    <col min="13" max="13" width="12.85546875" customWidth="1"/>
    <col min="14" max="14" width="11" customWidth="1"/>
  </cols>
  <sheetData>
    <row r="1" spans="1:14" x14ac:dyDescent="0.25">
      <c r="A1" s="7" t="s">
        <v>193</v>
      </c>
    </row>
    <row r="2" spans="1:14" x14ac:dyDescent="0.25">
      <c r="A2" s="6"/>
    </row>
    <row r="3" spans="1:14" x14ac:dyDescent="0.25">
      <c r="A3" s="7" t="s">
        <v>179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4" x14ac:dyDescent="0.25">
      <c r="A4" s="7" t="s">
        <v>180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4" x14ac:dyDescent="0.25">
      <c r="A5" s="36" t="s">
        <v>13</v>
      </c>
      <c r="B5" s="36" t="s">
        <v>20</v>
      </c>
      <c r="C5" s="36" t="s">
        <v>135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1:14" ht="45" x14ac:dyDescent="0.25">
      <c r="A6" s="36"/>
      <c r="B6" s="36"/>
      <c r="C6" s="8" t="s">
        <v>0</v>
      </c>
      <c r="D6" s="8" t="s">
        <v>1</v>
      </c>
      <c r="E6" s="8" t="s">
        <v>2</v>
      </c>
      <c r="F6" s="8" t="s">
        <v>3</v>
      </c>
      <c r="G6" s="8" t="s">
        <v>4</v>
      </c>
      <c r="H6" s="8" t="s">
        <v>5</v>
      </c>
      <c r="I6" s="8" t="s">
        <v>6</v>
      </c>
      <c r="J6" s="8" t="s">
        <v>7</v>
      </c>
      <c r="K6" s="8" t="s">
        <v>8</v>
      </c>
      <c r="L6" s="8" t="s">
        <v>9</v>
      </c>
      <c r="M6" s="8" t="s">
        <v>10</v>
      </c>
      <c r="N6" s="8" t="s">
        <v>11</v>
      </c>
    </row>
    <row r="7" spans="1:14" x14ac:dyDescent="0.25">
      <c r="A7" s="3">
        <v>1</v>
      </c>
      <c r="B7" s="1" t="s">
        <v>22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3">
        <v>2</v>
      </c>
      <c r="B8" s="1" t="s">
        <v>23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3">
        <v>3</v>
      </c>
      <c r="B9" s="1" t="s">
        <v>24</v>
      </c>
      <c r="C9" s="1"/>
      <c r="D9" s="1"/>
      <c r="E9" s="1"/>
      <c r="F9" s="1"/>
      <c r="G9" s="1"/>
      <c r="H9" s="1">
        <v>20000</v>
      </c>
      <c r="I9" s="1"/>
      <c r="J9" s="1"/>
      <c r="K9" s="1"/>
      <c r="L9" s="1"/>
      <c r="M9" s="1"/>
      <c r="N9" s="1"/>
    </row>
    <row r="10" spans="1:14" x14ac:dyDescent="0.25">
      <c r="A10" s="3">
        <v>4</v>
      </c>
      <c r="B10" s="1" t="s">
        <v>25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3">
        <v>5</v>
      </c>
      <c r="B11" s="1" t="s">
        <v>26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3">
        <v>6</v>
      </c>
      <c r="B12" s="1" t="s">
        <v>27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3">
        <v>7</v>
      </c>
      <c r="B13" s="1" t="s">
        <v>28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3">
        <v>8</v>
      </c>
      <c r="B14" s="1" t="s">
        <v>29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3">
        <v>9</v>
      </c>
      <c r="B15" s="1" t="s">
        <v>30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3">
        <v>10</v>
      </c>
      <c r="B16" s="1" t="s">
        <v>31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3">
        <v>11</v>
      </c>
      <c r="B17" s="1" t="s">
        <v>32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3">
        <v>12</v>
      </c>
      <c r="B18" s="1" t="s">
        <v>33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3">
        <v>13</v>
      </c>
      <c r="B19" s="1" t="s">
        <v>34</v>
      </c>
      <c r="C19" s="1"/>
      <c r="D19" s="1"/>
      <c r="E19" s="1"/>
      <c r="F19" s="1"/>
      <c r="G19" s="1"/>
      <c r="H19" s="1">
        <v>50000</v>
      </c>
      <c r="I19" s="1"/>
      <c r="J19" s="1"/>
      <c r="K19" s="1"/>
      <c r="L19" s="1"/>
      <c r="M19" s="1"/>
      <c r="N19" s="1"/>
    </row>
    <row r="20" spans="1:14" x14ac:dyDescent="0.25">
      <c r="A20" s="3">
        <v>14</v>
      </c>
      <c r="B20" s="1" t="s">
        <v>35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3">
        <v>15</v>
      </c>
      <c r="B21" s="1" t="s">
        <v>36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3">
        <v>16</v>
      </c>
      <c r="B22" s="1" t="s">
        <v>37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3">
        <v>17</v>
      </c>
      <c r="B23" s="1" t="s">
        <v>38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3">
        <v>18</v>
      </c>
      <c r="B24" s="1" t="s">
        <v>39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3">
        <v>19</v>
      </c>
      <c r="B25" s="1" t="s">
        <v>40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3">
        <v>20</v>
      </c>
      <c r="B26" s="1" t="s">
        <v>41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3">
        <v>21</v>
      </c>
      <c r="B27" s="1" t="s">
        <v>42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3">
        <v>22</v>
      </c>
      <c r="B28" s="1" t="s">
        <v>43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3">
        <v>23</v>
      </c>
      <c r="B29" s="1" t="s">
        <v>44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3">
        <v>24</v>
      </c>
      <c r="B30" s="1" t="s">
        <v>45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3">
        <v>25</v>
      </c>
      <c r="B31" s="1" t="s">
        <v>46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3">
        <v>26</v>
      </c>
      <c r="B32" s="1" t="s">
        <v>47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3">
        <v>27</v>
      </c>
      <c r="B33" s="1" t="s">
        <v>48</v>
      </c>
      <c r="C33" s="1"/>
      <c r="D33" s="1">
        <v>20000</v>
      </c>
      <c r="E33" s="1"/>
      <c r="F33" s="1"/>
      <c r="G33" s="1"/>
      <c r="H33" s="1">
        <v>20000</v>
      </c>
      <c r="I33" s="1"/>
      <c r="J33" s="1"/>
      <c r="K33" s="1"/>
      <c r="L33" s="1"/>
      <c r="M33" s="1"/>
      <c r="N33" s="1"/>
    </row>
    <row r="34" spans="1:14" x14ac:dyDescent="0.25">
      <c r="A34" s="3">
        <v>28</v>
      </c>
      <c r="B34" s="1" t="s">
        <v>49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3">
        <v>29</v>
      </c>
      <c r="B35" s="1" t="s">
        <v>50</v>
      </c>
      <c r="C35" s="1"/>
      <c r="D35" s="1">
        <v>28000</v>
      </c>
      <c r="E35" s="1"/>
      <c r="F35" s="1"/>
      <c r="G35" s="1"/>
      <c r="H35" s="1">
        <v>27000</v>
      </c>
      <c r="I35" s="1"/>
      <c r="J35" s="1"/>
      <c r="K35" s="1"/>
      <c r="L35" s="1"/>
      <c r="M35" s="1"/>
      <c r="N35" s="1"/>
    </row>
    <row r="36" spans="1:14" x14ac:dyDescent="0.25">
      <c r="A36" s="3">
        <v>30</v>
      </c>
      <c r="B36" s="1" t="s">
        <v>51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3">
        <v>31</v>
      </c>
      <c r="B37" s="1" t="s">
        <v>52</v>
      </c>
      <c r="C37" s="1"/>
      <c r="D37" s="1">
        <v>25000</v>
      </c>
      <c r="E37" s="1"/>
      <c r="F37" s="1"/>
      <c r="G37" s="1"/>
      <c r="H37" s="1">
        <v>22000</v>
      </c>
      <c r="I37" s="1"/>
      <c r="J37" s="1"/>
      <c r="K37" s="1"/>
      <c r="L37" s="1"/>
      <c r="M37" s="1"/>
      <c r="N37" s="1"/>
    </row>
    <row r="38" spans="1:14" x14ac:dyDescent="0.25">
      <c r="A38" s="3">
        <v>32</v>
      </c>
      <c r="B38" s="1" t="s">
        <v>53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3">
        <v>33</v>
      </c>
      <c r="B39" s="1" t="s">
        <v>54</v>
      </c>
      <c r="C39" s="1"/>
      <c r="D39" s="1">
        <v>17000</v>
      </c>
      <c r="E39" s="1"/>
      <c r="F39" s="1"/>
      <c r="G39" s="1"/>
      <c r="H39" s="1">
        <v>17000</v>
      </c>
      <c r="I39" s="1"/>
      <c r="J39" s="1"/>
      <c r="K39" s="1"/>
      <c r="L39" s="1"/>
      <c r="M39" s="1"/>
      <c r="N39" s="1"/>
    </row>
    <row r="40" spans="1:14" x14ac:dyDescent="0.25">
      <c r="A40" s="3">
        <v>34</v>
      </c>
      <c r="B40" s="1" t="s">
        <v>55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3">
        <v>35</v>
      </c>
      <c r="B41" s="1" t="s">
        <v>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3">
        <v>36</v>
      </c>
      <c r="B42" s="1" t="s">
        <v>56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3">
        <v>37</v>
      </c>
      <c r="B43" s="1" t="s">
        <v>57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3">
        <v>38</v>
      </c>
      <c r="B44" s="1" t="s">
        <v>58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3">
        <v>39</v>
      </c>
      <c r="B45" s="1" t="s">
        <v>59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3">
        <v>40</v>
      </c>
      <c r="B46" s="1" t="s">
        <v>60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3">
        <v>41</v>
      </c>
      <c r="B47" s="1" t="s">
        <v>61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3">
        <v>42</v>
      </c>
      <c r="B48" s="1" t="s">
        <v>62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3">
        <v>43</v>
      </c>
      <c r="B49" s="1" t="s">
        <v>63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3">
        <v>44</v>
      </c>
      <c r="B50" s="1" t="s">
        <v>64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3">
        <v>45</v>
      </c>
      <c r="B51" s="1" t="s">
        <v>65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3">
        <v>46</v>
      </c>
      <c r="B52" s="1" t="s">
        <v>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3">
        <v>47</v>
      </c>
      <c r="B53" s="1" t="s">
        <v>67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3">
        <v>48</v>
      </c>
      <c r="B54" s="1" t="s">
        <v>68</v>
      </c>
      <c r="C54" s="1"/>
      <c r="D54" s="1"/>
      <c r="E54" s="1"/>
      <c r="F54" s="1"/>
      <c r="G54" s="1"/>
      <c r="H54" s="1"/>
      <c r="I54" s="1"/>
      <c r="J54" s="1"/>
      <c r="K54" s="1"/>
      <c r="L54" s="1">
        <v>65000</v>
      </c>
      <c r="M54" s="1"/>
      <c r="N54" s="1"/>
    </row>
    <row r="55" spans="1:14" x14ac:dyDescent="0.25">
      <c r="A55" s="3">
        <v>49</v>
      </c>
      <c r="B55" s="1" t="s">
        <v>69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</sheetData>
  <mergeCells count="3">
    <mergeCell ref="C5:N5"/>
    <mergeCell ref="B5:B6"/>
    <mergeCell ref="A5:A6"/>
  </mergeCells>
  <pageMargins left="0.7" right="0.7" top="0.75" bottom="0.75" header="0.3" footer="0.3"/>
  <pageSetup paperSize="256" scale="52" orientation="portrait" horizont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E6"/>
  <sheetViews>
    <sheetView view="pageBreakPreview" zoomScale="175" zoomScaleNormal="100" zoomScaleSheetLayoutView="175" workbookViewId="0">
      <selection activeCell="A4" sqref="A4"/>
    </sheetView>
  </sheetViews>
  <sheetFormatPr defaultRowHeight="15" x14ac:dyDescent="0.25"/>
  <cols>
    <col min="1" max="1" width="5.28515625" customWidth="1"/>
    <col min="2" max="2" width="27.5703125" customWidth="1"/>
    <col min="3" max="3" width="19.140625" customWidth="1"/>
    <col min="4" max="4" width="29" customWidth="1"/>
    <col min="5" max="5" width="22.42578125" customWidth="1"/>
  </cols>
  <sheetData>
    <row r="1" spans="1:5" x14ac:dyDescent="0.25">
      <c r="A1" t="s">
        <v>194</v>
      </c>
    </row>
    <row r="3" spans="1:5" x14ac:dyDescent="0.25">
      <c r="A3" t="s">
        <v>172</v>
      </c>
    </row>
    <row r="4" spans="1:5" ht="17.25" x14ac:dyDescent="0.3">
      <c r="A4" s="4" t="s">
        <v>13</v>
      </c>
      <c r="B4" s="4" t="s">
        <v>14</v>
      </c>
      <c r="C4" s="4" t="s">
        <v>15</v>
      </c>
      <c r="D4" s="4" t="s">
        <v>132</v>
      </c>
      <c r="E4" s="4" t="s">
        <v>136</v>
      </c>
    </row>
    <row r="5" spans="1:5" x14ac:dyDescent="0.25">
      <c r="A5" s="3">
        <v>1</v>
      </c>
      <c r="B5" s="1" t="s">
        <v>71</v>
      </c>
      <c r="C5" s="1"/>
      <c r="D5" s="1"/>
      <c r="E5" s="1"/>
    </row>
    <row r="6" spans="1:5" x14ac:dyDescent="0.25">
      <c r="A6" s="3">
        <v>2</v>
      </c>
      <c r="B6" s="1" t="s">
        <v>72</v>
      </c>
      <c r="C6" s="1">
        <v>220</v>
      </c>
      <c r="D6" s="1">
        <v>220</v>
      </c>
      <c r="E6" s="1">
        <v>845000</v>
      </c>
    </row>
  </sheetData>
  <pageMargins left="0.7" right="0.7" top="0.75" bottom="0.75" header="0.3" footer="0.3"/>
  <pageSetup paperSize="256" scale="88" orientation="portrait" horizontalDpi="429496729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</sheetPr>
  <dimension ref="A1:J21"/>
  <sheetViews>
    <sheetView view="pageBreakPreview" zoomScale="115" zoomScaleNormal="100" zoomScaleSheetLayoutView="115" workbookViewId="0">
      <selection activeCell="D21" sqref="D21"/>
    </sheetView>
  </sheetViews>
  <sheetFormatPr defaultRowHeight="15" x14ac:dyDescent="0.25"/>
  <cols>
    <col min="1" max="1" width="3.85546875" customWidth="1"/>
    <col min="2" max="2" width="21.42578125" customWidth="1"/>
    <col min="3" max="3" width="22.7109375" customWidth="1"/>
    <col min="4" max="4" width="21.5703125" customWidth="1"/>
    <col min="5" max="5" width="30.42578125" customWidth="1"/>
  </cols>
  <sheetData>
    <row r="1" spans="1:10" x14ac:dyDescent="0.25">
      <c r="A1" t="s">
        <v>195</v>
      </c>
    </row>
    <row r="3" spans="1:10" x14ac:dyDescent="0.25">
      <c r="A3" t="s">
        <v>174</v>
      </c>
    </row>
    <row r="4" spans="1:10" x14ac:dyDescent="0.25">
      <c r="A4" t="s">
        <v>173</v>
      </c>
    </row>
    <row r="5" spans="1:10" x14ac:dyDescent="0.25">
      <c r="A5" s="4" t="s">
        <v>16</v>
      </c>
      <c r="B5" s="4" t="s">
        <v>14</v>
      </c>
      <c r="C5" s="4" t="s">
        <v>18</v>
      </c>
      <c r="D5" s="4" t="s">
        <v>73</v>
      </c>
      <c r="E5" s="4" t="s">
        <v>137</v>
      </c>
    </row>
    <row r="6" spans="1:10" x14ac:dyDescent="0.25">
      <c r="A6" s="1">
        <v>1</v>
      </c>
      <c r="B6" s="1" t="s">
        <v>71</v>
      </c>
      <c r="C6" s="1"/>
      <c r="D6" s="1"/>
      <c r="E6" s="1"/>
    </row>
    <row r="7" spans="1:10" x14ac:dyDescent="0.25">
      <c r="A7" s="1">
        <v>2</v>
      </c>
      <c r="B7" s="1" t="s">
        <v>72</v>
      </c>
      <c r="C7" s="14">
        <v>22689.65</v>
      </c>
      <c r="D7" s="14">
        <v>2495.8615</v>
      </c>
      <c r="E7" s="17">
        <f>D7/C7</f>
        <v>0.10999999999999999</v>
      </c>
    </row>
    <row r="10" spans="1:10" x14ac:dyDescent="0.25">
      <c r="A10" t="s">
        <v>175</v>
      </c>
    </row>
    <row r="11" spans="1:10" x14ac:dyDescent="0.25">
      <c r="A11" s="4" t="s">
        <v>16</v>
      </c>
      <c r="B11" s="4" t="s">
        <v>14</v>
      </c>
      <c r="C11" s="4" t="s">
        <v>18</v>
      </c>
      <c r="D11" s="4" t="s">
        <v>73</v>
      </c>
      <c r="E11" s="4" t="s">
        <v>137</v>
      </c>
    </row>
    <row r="12" spans="1:10" x14ac:dyDescent="0.25">
      <c r="A12" s="1">
        <v>1</v>
      </c>
      <c r="B12" s="1" t="s">
        <v>71</v>
      </c>
      <c r="C12" s="1"/>
      <c r="D12" s="1"/>
      <c r="E12" s="1"/>
    </row>
    <row r="13" spans="1:10" x14ac:dyDescent="0.25">
      <c r="A13" s="1">
        <v>2</v>
      </c>
      <c r="B13" s="1" t="s">
        <v>72</v>
      </c>
      <c r="C13" s="14">
        <v>22648.240000000002</v>
      </c>
      <c r="D13" s="14">
        <v>2476.5420123440003</v>
      </c>
      <c r="E13" s="17">
        <f>D13/C13</f>
        <v>0.1093481</v>
      </c>
    </row>
    <row r="14" spans="1:10" x14ac:dyDescent="0.25">
      <c r="J14" t="s">
        <v>129</v>
      </c>
    </row>
    <row r="16" spans="1:10" x14ac:dyDescent="0.25">
      <c r="A16" t="s">
        <v>176</v>
      </c>
    </row>
    <row r="17" spans="1:5" x14ac:dyDescent="0.25">
      <c r="A17" s="4" t="s">
        <v>16</v>
      </c>
      <c r="B17" s="4" t="s">
        <v>14</v>
      </c>
      <c r="C17" s="4" t="s">
        <v>18</v>
      </c>
      <c r="D17" s="4" t="s">
        <v>73</v>
      </c>
      <c r="E17" s="4" t="s">
        <v>137</v>
      </c>
    </row>
    <row r="18" spans="1:5" x14ac:dyDescent="0.25">
      <c r="A18" s="1">
        <v>1</v>
      </c>
      <c r="B18" s="1" t="s">
        <v>71</v>
      </c>
      <c r="C18" s="1"/>
      <c r="D18" s="1"/>
      <c r="E18" s="1"/>
    </row>
    <row r="19" spans="1:5" x14ac:dyDescent="0.25">
      <c r="A19" s="1">
        <v>2</v>
      </c>
      <c r="B19" s="1" t="s">
        <v>72</v>
      </c>
      <c r="C19" s="14">
        <v>22638.14</v>
      </c>
      <c r="D19" s="14">
        <v>2229.0352518994</v>
      </c>
      <c r="E19" s="17">
        <f>D19/C19</f>
        <v>9.846371000000001E-2</v>
      </c>
    </row>
    <row r="21" spans="1:5" x14ac:dyDescent="0.25">
      <c r="D21" s="32">
        <f>D19+D13+D7</f>
        <v>7201.4387642434003</v>
      </c>
    </row>
  </sheetData>
  <pageMargins left="0.7" right="0.7" top="0.75" bottom="0.75" header="0.3" footer="0.3"/>
  <pageSetup paperSize="256" scale="91" orientation="portrait" horizontalDpi="429496729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</sheetPr>
  <dimension ref="A1:F37"/>
  <sheetViews>
    <sheetView view="pageBreakPreview" topLeftCell="A13" zoomScaleNormal="100" zoomScaleSheetLayoutView="100" workbookViewId="0">
      <selection activeCell="E11" sqref="E11"/>
    </sheetView>
  </sheetViews>
  <sheetFormatPr defaultRowHeight="15" x14ac:dyDescent="0.25"/>
  <cols>
    <col min="1" max="1" width="5" customWidth="1"/>
    <col min="2" max="2" width="40.85546875" customWidth="1"/>
    <col min="3" max="3" width="21.140625" customWidth="1"/>
    <col min="4" max="4" width="23.28515625" customWidth="1"/>
    <col min="5" max="5" width="24.140625" customWidth="1"/>
    <col min="6" max="6" width="30.42578125" customWidth="1"/>
  </cols>
  <sheetData>
    <row r="1" spans="1:6" x14ac:dyDescent="0.25">
      <c r="A1" s="7" t="s">
        <v>196</v>
      </c>
    </row>
    <row r="2" spans="1:6" x14ac:dyDescent="0.25">
      <c r="A2" s="6"/>
    </row>
    <row r="3" spans="1:6" x14ac:dyDescent="0.25">
      <c r="A3" s="7" t="s">
        <v>179</v>
      </c>
      <c r="B3" s="7"/>
      <c r="C3" s="7"/>
      <c r="D3" s="7"/>
      <c r="E3" s="7"/>
    </row>
    <row r="4" spans="1:6" x14ac:dyDescent="0.25">
      <c r="A4" s="7" t="s">
        <v>180</v>
      </c>
      <c r="B4" s="7"/>
      <c r="C4" s="7"/>
      <c r="D4" s="7"/>
      <c r="E4" s="7"/>
    </row>
    <row r="5" spans="1:6" x14ac:dyDescent="0.25">
      <c r="A5" s="4" t="s">
        <v>13</v>
      </c>
      <c r="B5" s="5" t="s">
        <v>20</v>
      </c>
      <c r="C5" s="4" t="s">
        <v>197</v>
      </c>
      <c r="D5" s="4" t="s">
        <v>198</v>
      </c>
      <c r="E5" s="4" t="s">
        <v>199</v>
      </c>
      <c r="F5" s="4" t="s">
        <v>128</v>
      </c>
    </row>
    <row r="6" spans="1:6" x14ac:dyDescent="0.25">
      <c r="A6" s="3">
        <v>1</v>
      </c>
      <c r="B6" s="1" t="s">
        <v>74</v>
      </c>
      <c r="C6" s="1"/>
      <c r="D6" s="1"/>
      <c r="E6" s="1"/>
      <c r="F6" s="18">
        <f>SUM(C6:E6)</f>
        <v>0</v>
      </c>
    </row>
    <row r="7" spans="1:6" x14ac:dyDescent="0.25">
      <c r="A7" s="3">
        <v>2</v>
      </c>
      <c r="B7" s="1" t="s">
        <v>22</v>
      </c>
      <c r="C7" s="1"/>
      <c r="D7" s="1"/>
      <c r="E7" s="1"/>
      <c r="F7" s="18">
        <f t="shared" ref="F7:F33" si="0">SUM(C7:E7)</f>
        <v>0</v>
      </c>
    </row>
    <row r="8" spans="1:6" x14ac:dyDescent="0.25">
      <c r="A8" s="3">
        <v>3</v>
      </c>
      <c r="B8" s="1" t="s">
        <v>24</v>
      </c>
      <c r="C8" s="1"/>
      <c r="D8" s="1"/>
      <c r="E8" s="1"/>
      <c r="F8" s="18">
        <f t="shared" si="0"/>
        <v>0</v>
      </c>
    </row>
    <row r="9" spans="1:6" x14ac:dyDescent="0.25">
      <c r="A9" s="3">
        <v>4</v>
      </c>
      <c r="B9" s="1" t="s">
        <v>75</v>
      </c>
      <c r="C9" s="1"/>
      <c r="D9" s="1"/>
      <c r="E9" s="1"/>
      <c r="F9" s="18">
        <f t="shared" si="0"/>
        <v>0</v>
      </c>
    </row>
    <row r="10" spans="1:6" x14ac:dyDescent="0.25">
      <c r="A10" s="3">
        <v>5</v>
      </c>
      <c r="B10" s="1" t="s">
        <v>28</v>
      </c>
      <c r="C10" s="1"/>
      <c r="D10" s="1"/>
      <c r="E10" s="1"/>
      <c r="F10" s="18">
        <f t="shared" si="0"/>
        <v>0</v>
      </c>
    </row>
    <row r="11" spans="1:6" x14ac:dyDescent="0.25">
      <c r="A11" s="3">
        <v>6</v>
      </c>
      <c r="B11" s="1" t="s">
        <v>76</v>
      </c>
      <c r="C11" s="1"/>
      <c r="D11" s="1"/>
      <c r="E11" s="1"/>
      <c r="F11" s="18">
        <f t="shared" si="0"/>
        <v>0</v>
      </c>
    </row>
    <row r="12" spans="1:6" x14ac:dyDescent="0.25">
      <c r="A12" s="3">
        <v>7</v>
      </c>
      <c r="B12" s="1" t="s">
        <v>77</v>
      </c>
      <c r="C12" s="1"/>
      <c r="D12" s="1"/>
      <c r="E12" s="1"/>
      <c r="F12" s="18">
        <f t="shared" si="0"/>
        <v>0</v>
      </c>
    </row>
    <row r="13" spans="1:6" x14ac:dyDescent="0.25">
      <c r="A13" s="3">
        <v>8</v>
      </c>
      <c r="B13" s="1" t="s">
        <v>33</v>
      </c>
      <c r="C13" s="1"/>
      <c r="D13" s="1"/>
      <c r="E13" s="1"/>
      <c r="F13" s="18">
        <f t="shared" si="0"/>
        <v>0</v>
      </c>
    </row>
    <row r="14" spans="1:6" x14ac:dyDescent="0.25">
      <c r="A14" s="3">
        <v>9</v>
      </c>
      <c r="B14" s="1" t="s">
        <v>78</v>
      </c>
      <c r="C14" s="1"/>
      <c r="D14" s="1"/>
      <c r="E14" s="1"/>
      <c r="F14" s="18">
        <f t="shared" si="0"/>
        <v>0</v>
      </c>
    </row>
    <row r="15" spans="1:6" x14ac:dyDescent="0.25">
      <c r="A15" s="3">
        <v>10</v>
      </c>
      <c r="B15" s="1" t="s">
        <v>35</v>
      </c>
      <c r="C15" s="1"/>
      <c r="D15" s="1"/>
      <c r="E15" s="1"/>
      <c r="F15" s="18">
        <f t="shared" si="0"/>
        <v>0</v>
      </c>
    </row>
    <row r="16" spans="1:6" x14ac:dyDescent="0.25">
      <c r="A16" s="3">
        <v>11</v>
      </c>
      <c r="B16" s="1" t="s">
        <v>38</v>
      </c>
      <c r="C16" s="1"/>
      <c r="D16" s="1"/>
      <c r="E16" s="1"/>
      <c r="F16" s="18">
        <f t="shared" si="0"/>
        <v>0</v>
      </c>
    </row>
    <row r="17" spans="1:6" x14ac:dyDescent="0.25">
      <c r="A17" s="3">
        <v>12</v>
      </c>
      <c r="B17" s="1" t="s">
        <v>40</v>
      </c>
      <c r="C17" s="1"/>
      <c r="D17" s="1"/>
      <c r="E17" s="1"/>
      <c r="F17" s="18">
        <f t="shared" si="0"/>
        <v>0</v>
      </c>
    </row>
    <row r="18" spans="1:6" x14ac:dyDescent="0.25">
      <c r="A18" s="3">
        <v>13</v>
      </c>
      <c r="B18" s="1" t="s">
        <v>79</v>
      </c>
      <c r="C18" s="1"/>
      <c r="D18" s="1"/>
      <c r="E18" s="1"/>
      <c r="F18" s="18">
        <f t="shared" si="0"/>
        <v>0</v>
      </c>
    </row>
    <row r="19" spans="1:6" x14ac:dyDescent="0.25">
      <c r="A19" s="3">
        <v>14</v>
      </c>
      <c r="B19" s="1" t="s">
        <v>48</v>
      </c>
      <c r="C19" s="18">
        <v>100</v>
      </c>
      <c r="D19" s="18">
        <v>97</v>
      </c>
      <c r="E19" s="18">
        <v>95</v>
      </c>
      <c r="F19" s="18">
        <f t="shared" si="0"/>
        <v>292</v>
      </c>
    </row>
    <row r="20" spans="1:6" x14ac:dyDescent="0.25">
      <c r="A20" s="3">
        <v>15</v>
      </c>
      <c r="B20" s="1" t="s">
        <v>49</v>
      </c>
      <c r="C20" s="18"/>
      <c r="D20" s="18"/>
      <c r="E20" s="18"/>
      <c r="F20" s="18">
        <f t="shared" si="0"/>
        <v>0</v>
      </c>
    </row>
    <row r="21" spans="1:6" x14ac:dyDescent="0.25">
      <c r="A21" s="3">
        <v>16</v>
      </c>
      <c r="B21" s="1" t="s">
        <v>156</v>
      </c>
      <c r="C21" s="18">
        <v>217</v>
      </c>
      <c r="D21" s="18">
        <v>224</v>
      </c>
      <c r="E21" s="18">
        <v>176</v>
      </c>
      <c r="F21" s="18">
        <f t="shared" si="0"/>
        <v>617</v>
      </c>
    </row>
    <row r="22" spans="1:6" x14ac:dyDescent="0.25">
      <c r="A22" s="3">
        <v>17</v>
      </c>
      <c r="B22" s="1" t="s">
        <v>51</v>
      </c>
      <c r="C22" s="18"/>
      <c r="D22" s="18"/>
      <c r="E22" s="18"/>
      <c r="F22" s="18">
        <f t="shared" si="0"/>
        <v>0</v>
      </c>
    </row>
    <row r="23" spans="1:6" x14ac:dyDescent="0.25">
      <c r="A23" s="3">
        <v>18</v>
      </c>
      <c r="B23" s="1" t="s">
        <v>52</v>
      </c>
      <c r="C23" s="18">
        <v>2179</v>
      </c>
      <c r="D23" s="18">
        <v>2156</v>
      </c>
      <c r="E23" s="18">
        <v>1958</v>
      </c>
      <c r="F23" s="18">
        <f t="shared" si="0"/>
        <v>6293</v>
      </c>
    </row>
    <row r="24" spans="1:6" x14ac:dyDescent="0.25">
      <c r="A24" s="3">
        <v>19</v>
      </c>
      <c r="B24" s="1" t="s">
        <v>53</v>
      </c>
      <c r="C24" s="18"/>
      <c r="D24" s="18"/>
      <c r="E24" s="18"/>
      <c r="F24" s="18">
        <f>SUM(C24:E24)</f>
        <v>0</v>
      </c>
    </row>
    <row r="25" spans="1:6" x14ac:dyDescent="0.25">
      <c r="A25" s="3">
        <v>20</v>
      </c>
      <c r="B25" s="1" t="s">
        <v>54</v>
      </c>
      <c r="C25" s="18"/>
      <c r="D25" s="18"/>
      <c r="E25" s="18"/>
      <c r="F25" s="18">
        <f t="shared" si="0"/>
        <v>0</v>
      </c>
    </row>
    <row r="26" spans="1:6" x14ac:dyDescent="0.25">
      <c r="A26" s="3">
        <v>21</v>
      </c>
      <c r="B26" s="1" t="s">
        <v>55</v>
      </c>
      <c r="C26" s="18"/>
      <c r="D26" s="18"/>
      <c r="E26" s="18"/>
      <c r="F26" s="18">
        <f t="shared" si="0"/>
        <v>0</v>
      </c>
    </row>
    <row r="27" spans="1:6" x14ac:dyDescent="0.25">
      <c r="A27" s="3">
        <v>22</v>
      </c>
      <c r="B27" s="1" t="s">
        <v>8</v>
      </c>
      <c r="C27" s="18"/>
      <c r="D27" s="18"/>
      <c r="E27" s="18"/>
      <c r="F27" s="18">
        <f t="shared" si="0"/>
        <v>0</v>
      </c>
    </row>
    <row r="28" spans="1:6" x14ac:dyDescent="0.25">
      <c r="A28" s="3">
        <v>23</v>
      </c>
      <c r="B28" s="1" t="s">
        <v>62</v>
      </c>
      <c r="C28" s="18"/>
      <c r="D28" s="18"/>
      <c r="E28" s="18"/>
      <c r="F28" s="18">
        <f t="shared" si="0"/>
        <v>0</v>
      </c>
    </row>
    <row r="29" spans="1:6" x14ac:dyDescent="0.25">
      <c r="A29" s="3">
        <v>24</v>
      </c>
      <c r="B29" s="1" t="s">
        <v>63</v>
      </c>
      <c r="C29" s="18"/>
      <c r="D29" s="18"/>
      <c r="E29" s="18"/>
      <c r="F29" s="18">
        <f t="shared" si="0"/>
        <v>0</v>
      </c>
    </row>
    <row r="30" spans="1:6" x14ac:dyDescent="0.25">
      <c r="A30" s="3">
        <v>25</v>
      </c>
      <c r="B30" s="1" t="s">
        <v>64</v>
      </c>
      <c r="C30" s="18"/>
      <c r="D30" s="18"/>
      <c r="E30" s="18"/>
      <c r="F30" s="18">
        <f t="shared" si="0"/>
        <v>0</v>
      </c>
    </row>
    <row r="31" spans="1:6" x14ac:dyDescent="0.25">
      <c r="A31" s="3">
        <v>26</v>
      </c>
      <c r="B31" s="1" t="s">
        <v>66</v>
      </c>
      <c r="C31" s="18"/>
      <c r="D31" s="18"/>
      <c r="E31" s="18"/>
      <c r="F31" s="18">
        <f t="shared" si="0"/>
        <v>0</v>
      </c>
    </row>
    <row r="32" spans="1:6" x14ac:dyDescent="0.25">
      <c r="A32" s="3">
        <v>27</v>
      </c>
      <c r="B32" s="1" t="s">
        <v>68</v>
      </c>
      <c r="C32" s="18"/>
      <c r="D32" s="18"/>
      <c r="E32" s="18"/>
      <c r="F32" s="18">
        <f t="shared" si="0"/>
        <v>0</v>
      </c>
    </row>
    <row r="33" spans="1:6" x14ac:dyDescent="0.25">
      <c r="A33" s="3">
        <v>28</v>
      </c>
      <c r="B33" s="1" t="s">
        <v>69</v>
      </c>
      <c r="C33" s="18"/>
      <c r="D33" s="18"/>
      <c r="E33" s="18"/>
      <c r="F33" s="18">
        <f t="shared" si="0"/>
        <v>0</v>
      </c>
    </row>
    <row r="34" spans="1:6" x14ac:dyDescent="0.25">
      <c r="A34" s="1"/>
      <c r="B34" s="1" t="s">
        <v>130</v>
      </c>
      <c r="C34" s="18">
        <f>SUM(C6:C33)</f>
        <v>2496</v>
      </c>
      <c r="D34" s="18">
        <f t="shared" ref="D34:F34" si="1">SUM(D6:D33)</f>
        <v>2477</v>
      </c>
      <c r="E34" s="18">
        <f t="shared" si="1"/>
        <v>2229</v>
      </c>
      <c r="F34" s="18">
        <f t="shared" si="1"/>
        <v>7202</v>
      </c>
    </row>
    <row r="36" spans="1:6" x14ac:dyDescent="0.25">
      <c r="F36" s="28"/>
    </row>
    <row r="37" spans="1:6" x14ac:dyDescent="0.25">
      <c r="C37" s="28"/>
      <c r="D37" s="28"/>
      <c r="E37" s="28"/>
    </row>
  </sheetData>
  <pageMargins left="0.7" right="0.7" top="0.75" bottom="0.75" header="0.3" footer="0.3"/>
  <pageSetup paperSize="256" scale="59" orientation="portrait" horizontalDpi="4294967294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D34"/>
  <sheetViews>
    <sheetView tabSelected="1" view="pageBreakPreview" zoomScaleNormal="100" zoomScaleSheetLayoutView="100" workbookViewId="0">
      <selection activeCell="G18" sqref="G18"/>
    </sheetView>
  </sheetViews>
  <sheetFormatPr defaultRowHeight="15" x14ac:dyDescent="0.25"/>
  <cols>
    <col min="1" max="1" width="4.85546875" style="6" customWidth="1"/>
    <col min="2" max="2" width="43.28515625" customWidth="1"/>
    <col min="3" max="3" width="23.42578125" customWidth="1"/>
    <col min="4" max="4" width="23" customWidth="1"/>
  </cols>
  <sheetData>
    <row r="1" spans="1:4" s="7" customFormat="1" x14ac:dyDescent="0.25">
      <c r="A1" s="7" t="s">
        <v>203</v>
      </c>
    </row>
    <row r="3" spans="1:4" x14ac:dyDescent="0.25">
      <c r="A3" s="7" t="s">
        <v>70</v>
      </c>
      <c r="B3" s="7"/>
    </row>
    <row r="4" spans="1:4" x14ac:dyDescent="0.25">
      <c r="A4" s="7" t="s">
        <v>180</v>
      </c>
      <c r="B4" s="7"/>
    </row>
    <row r="5" spans="1:4" x14ac:dyDescent="0.25">
      <c r="A5" s="36" t="s">
        <v>13</v>
      </c>
      <c r="B5" s="36" t="s">
        <v>20</v>
      </c>
      <c r="C5" s="36" t="s">
        <v>135</v>
      </c>
      <c r="D5" s="36"/>
    </row>
    <row r="6" spans="1:4" x14ac:dyDescent="0.25">
      <c r="A6" s="36"/>
      <c r="B6" s="36"/>
      <c r="C6" s="11" t="s">
        <v>138</v>
      </c>
      <c r="D6" s="11" t="s">
        <v>72</v>
      </c>
    </row>
    <row r="7" spans="1:4" x14ac:dyDescent="0.25">
      <c r="A7" s="9">
        <v>1</v>
      </c>
      <c r="B7" s="10" t="s">
        <v>74</v>
      </c>
      <c r="C7" s="1"/>
      <c r="D7" s="1"/>
    </row>
    <row r="8" spans="1:4" x14ac:dyDescent="0.25">
      <c r="A8" s="3">
        <v>2</v>
      </c>
      <c r="B8" s="1" t="s">
        <v>22</v>
      </c>
      <c r="C8" s="1"/>
      <c r="D8" s="1"/>
    </row>
    <row r="9" spans="1:4" x14ac:dyDescent="0.25">
      <c r="A9" s="3">
        <v>3</v>
      </c>
      <c r="B9" s="1" t="s">
        <v>24</v>
      </c>
      <c r="C9" s="1"/>
      <c r="D9" s="1"/>
    </row>
    <row r="10" spans="1:4" x14ac:dyDescent="0.25">
      <c r="A10" s="3">
        <v>4</v>
      </c>
      <c r="B10" s="1" t="s">
        <v>75</v>
      </c>
      <c r="C10" s="1"/>
      <c r="D10" s="1"/>
    </row>
    <row r="11" spans="1:4" x14ac:dyDescent="0.25">
      <c r="A11" s="3">
        <v>5</v>
      </c>
      <c r="B11" s="1" t="s">
        <v>28</v>
      </c>
      <c r="C11" s="1"/>
      <c r="D11" s="1"/>
    </row>
    <row r="12" spans="1:4" x14ac:dyDescent="0.25">
      <c r="A12" s="3">
        <v>6</v>
      </c>
      <c r="B12" s="1" t="s">
        <v>76</v>
      </c>
      <c r="C12" s="1"/>
      <c r="D12" s="1"/>
    </row>
    <row r="13" spans="1:4" x14ac:dyDescent="0.25">
      <c r="A13" s="3">
        <v>7</v>
      </c>
      <c r="B13" s="1" t="s">
        <v>77</v>
      </c>
      <c r="C13" s="1"/>
      <c r="D13" s="1"/>
    </row>
    <row r="14" spans="1:4" x14ac:dyDescent="0.25">
      <c r="A14" s="3">
        <v>8</v>
      </c>
      <c r="B14" s="1" t="s">
        <v>33</v>
      </c>
      <c r="C14" s="1"/>
      <c r="D14" s="1"/>
    </row>
    <row r="15" spans="1:4" x14ac:dyDescent="0.25">
      <c r="A15" s="3">
        <v>9</v>
      </c>
      <c r="B15" s="1" t="s">
        <v>78</v>
      </c>
      <c r="C15" s="1"/>
      <c r="D15" s="1"/>
    </row>
    <row r="16" spans="1:4" x14ac:dyDescent="0.25">
      <c r="A16" s="3">
        <v>10</v>
      </c>
      <c r="B16" s="1" t="s">
        <v>35</v>
      </c>
      <c r="C16" s="1"/>
      <c r="D16" s="1"/>
    </row>
    <row r="17" spans="1:4" x14ac:dyDescent="0.25">
      <c r="A17" s="3">
        <v>11</v>
      </c>
      <c r="B17" s="1" t="s">
        <v>38</v>
      </c>
      <c r="C17" s="1"/>
      <c r="D17" s="1"/>
    </row>
    <row r="18" spans="1:4" x14ac:dyDescent="0.25">
      <c r="A18" s="3">
        <v>12</v>
      </c>
      <c r="B18" s="1" t="s">
        <v>40</v>
      </c>
      <c r="C18" s="1"/>
      <c r="D18" s="1"/>
    </row>
    <row r="19" spans="1:4" x14ac:dyDescent="0.25">
      <c r="A19" s="3">
        <v>13</v>
      </c>
      <c r="B19" s="1" t="s">
        <v>79</v>
      </c>
      <c r="C19" s="1"/>
      <c r="D19" s="1"/>
    </row>
    <row r="20" spans="1:4" x14ac:dyDescent="0.25">
      <c r="A20" s="3">
        <v>14</v>
      </c>
      <c r="B20" s="1" t="s">
        <v>48</v>
      </c>
      <c r="C20" s="1"/>
      <c r="D20" s="1">
        <v>275</v>
      </c>
    </row>
    <row r="21" spans="1:4" x14ac:dyDescent="0.25">
      <c r="A21" s="3">
        <v>15</v>
      </c>
      <c r="B21" s="1" t="s">
        <v>49</v>
      </c>
      <c r="C21" s="1"/>
      <c r="D21" s="1"/>
    </row>
    <row r="22" spans="1:4" x14ac:dyDescent="0.25">
      <c r="A22" s="3">
        <v>16</v>
      </c>
      <c r="B22" s="1" t="s">
        <v>156</v>
      </c>
      <c r="C22" s="1"/>
      <c r="D22" s="1">
        <v>275</v>
      </c>
    </row>
    <row r="23" spans="1:4" x14ac:dyDescent="0.25">
      <c r="A23" s="3">
        <v>17</v>
      </c>
      <c r="B23" s="1" t="s">
        <v>51</v>
      </c>
      <c r="C23" s="1"/>
      <c r="D23" s="1"/>
    </row>
    <row r="24" spans="1:4" x14ac:dyDescent="0.25">
      <c r="A24" s="3">
        <v>18</v>
      </c>
      <c r="B24" s="1" t="s">
        <v>52</v>
      </c>
      <c r="C24" s="1"/>
      <c r="D24" s="1">
        <v>275</v>
      </c>
    </row>
    <row r="25" spans="1:4" x14ac:dyDescent="0.25">
      <c r="A25" s="3">
        <v>19</v>
      </c>
      <c r="B25" s="1" t="s">
        <v>53</v>
      </c>
      <c r="C25" s="1"/>
      <c r="D25" s="1"/>
    </row>
    <row r="26" spans="1:4" x14ac:dyDescent="0.25">
      <c r="A26" s="3">
        <v>20</v>
      </c>
      <c r="B26" s="1" t="s">
        <v>54</v>
      </c>
      <c r="C26" s="1"/>
      <c r="D26" s="1"/>
    </row>
    <row r="27" spans="1:4" x14ac:dyDescent="0.25">
      <c r="A27" s="3">
        <v>21</v>
      </c>
      <c r="B27" s="1" t="s">
        <v>55</v>
      </c>
      <c r="C27" s="1"/>
      <c r="D27" s="1"/>
    </row>
    <row r="28" spans="1:4" x14ac:dyDescent="0.25">
      <c r="A28" s="3">
        <v>22</v>
      </c>
      <c r="B28" s="1" t="s">
        <v>8</v>
      </c>
      <c r="C28" s="1"/>
      <c r="D28" s="1"/>
    </row>
    <row r="29" spans="1:4" x14ac:dyDescent="0.25">
      <c r="A29" s="3">
        <v>23</v>
      </c>
      <c r="B29" s="1" t="s">
        <v>62</v>
      </c>
      <c r="C29" s="1"/>
      <c r="D29" s="1"/>
    </row>
    <row r="30" spans="1:4" x14ac:dyDescent="0.25">
      <c r="A30" s="3">
        <v>24</v>
      </c>
      <c r="B30" s="1" t="s">
        <v>63</v>
      </c>
      <c r="C30" s="1"/>
      <c r="D30" s="1"/>
    </row>
    <row r="31" spans="1:4" x14ac:dyDescent="0.25">
      <c r="A31" s="3">
        <v>25</v>
      </c>
      <c r="B31" s="1" t="s">
        <v>64</v>
      </c>
      <c r="C31" s="1"/>
      <c r="D31" s="1"/>
    </row>
    <row r="32" spans="1:4" x14ac:dyDescent="0.25">
      <c r="A32" s="3">
        <v>26</v>
      </c>
      <c r="B32" s="1" t="s">
        <v>66</v>
      </c>
      <c r="C32" s="1"/>
      <c r="D32" s="1"/>
    </row>
    <row r="33" spans="1:4" x14ac:dyDescent="0.25">
      <c r="A33" s="3">
        <v>27</v>
      </c>
      <c r="B33" s="1" t="s">
        <v>68</v>
      </c>
      <c r="C33" s="1"/>
      <c r="D33" s="1"/>
    </row>
    <row r="34" spans="1:4" x14ac:dyDescent="0.25">
      <c r="A34" s="3">
        <v>28</v>
      </c>
      <c r="B34" s="1" t="s">
        <v>69</v>
      </c>
      <c r="C34" s="1"/>
      <c r="D34" s="1"/>
    </row>
  </sheetData>
  <mergeCells count="3">
    <mergeCell ref="C5:D5"/>
    <mergeCell ref="A5:A6"/>
    <mergeCell ref="B5:B6"/>
  </mergeCells>
  <pageMargins left="0.7" right="0.7" top="0.75" bottom="0.75" header="0.3" footer="0.3"/>
  <pageSetup paperSize="256" scale="93" orientation="portrait" horizont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</sheetPr>
  <dimension ref="A1:E6"/>
  <sheetViews>
    <sheetView view="pageBreakPreview" zoomScale="115" zoomScaleNormal="100" zoomScaleSheetLayoutView="115" workbookViewId="0">
      <selection activeCell="D12" sqref="D12"/>
    </sheetView>
  </sheetViews>
  <sheetFormatPr defaultRowHeight="15" x14ac:dyDescent="0.25"/>
  <cols>
    <col min="1" max="1" width="5.28515625" customWidth="1"/>
    <col min="2" max="2" width="27.5703125" customWidth="1"/>
    <col min="3" max="3" width="19.140625" customWidth="1"/>
    <col min="4" max="4" width="30.85546875" customWidth="1"/>
    <col min="5" max="5" width="16.28515625" customWidth="1"/>
  </cols>
  <sheetData>
    <row r="1" spans="1:5" x14ac:dyDescent="0.25">
      <c r="A1" t="s">
        <v>164</v>
      </c>
    </row>
    <row r="3" spans="1:5" x14ac:dyDescent="0.25">
      <c r="A3" t="s">
        <v>12</v>
      </c>
    </row>
    <row r="4" spans="1:5" ht="17.25" x14ac:dyDescent="0.3">
      <c r="A4" s="4" t="s">
        <v>13</v>
      </c>
      <c r="B4" s="4" t="s">
        <v>14</v>
      </c>
      <c r="C4" s="4" t="s">
        <v>15</v>
      </c>
      <c r="D4" s="4" t="s">
        <v>132</v>
      </c>
      <c r="E4" s="4" t="s">
        <v>136</v>
      </c>
    </row>
    <row r="5" spans="1:5" x14ac:dyDescent="0.25">
      <c r="A5" s="3">
        <v>1</v>
      </c>
      <c r="B5" s="1" t="s">
        <v>80</v>
      </c>
      <c r="C5" s="1"/>
      <c r="D5" s="1"/>
      <c r="E5" s="1"/>
    </row>
    <row r="6" spans="1:5" x14ac:dyDescent="0.25">
      <c r="A6" s="3">
        <v>2</v>
      </c>
      <c r="B6" s="1" t="s">
        <v>81</v>
      </c>
      <c r="C6" s="1"/>
      <c r="D6" s="1"/>
      <c r="E6" s="1"/>
    </row>
  </sheetData>
  <pageMargins left="0.7" right="0.7" top="0.75" bottom="0.75" header="0.3" footer="0.3"/>
  <pageSetup paperSize="256" scale="91" orientation="portrait" horizontalDpi="4294967294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/>
  </sheetPr>
  <dimension ref="A1:E19"/>
  <sheetViews>
    <sheetView view="pageBreakPreview" zoomScale="115" zoomScaleNormal="100" zoomScaleSheetLayoutView="115" workbookViewId="0">
      <selection activeCell="H1" sqref="H1"/>
    </sheetView>
  </sheetViews>
  <sheetFormatPr defaultRowHeight="15" x14ac:dyDescent="0.25"/>
  <cols>
    <col min="1" max="1" width="3.85546875" customWidth="1"/>
    <col min="2" max="2" width="21.42578125" customWidth="1"/>
    <col min="3" max="3" width="22.7109375" customWidth="1"/>
    <col min="4" max="4" width="21.5703125" customWidth="1"/>
    <col min="5" max="5" width="29.5703125" customWidth="1"/>
  </cols>
  <sheetData>
    <row r="1" spans="1:5" x14ac:dyDescent="0.25">
      <c r="A1" t="s">
        <v>165</v>
      </c>
    </row>
    <row r="3" spans="1:5" x14ac:dyDescent="0.25">
      <c r="A3" t="s">
        <v>17</v>
      </c>
    </row>
    <row r="4" spans="1:5" x14ac:dyDescent="0.25">
      <c r="A4" t="s">
        <v>160</v>
      </c>
    </row>
    <row r="5" spans="1:5" x14ac:dyDescent="0.25">
      <c r="A5" s="4" t="s">
        <v>16</v>
      </c>
      <c r="B5" s="4" t="s">
        <v>14</v>
      </c>
      <c r="C5" s="4" t="s">
        <v>18</v>
      </c>
      <c r="D5" s="4" t="s">
        <v>82</v>
      </c>
      <c r="E5" s="4" t="s">
        <v>140</v>
      </c>
    </row>
    <row r="6" spans="1:5" x14ac:dyDescent="0.25">
      <c r="A6" s="1">
        <v>1</v>
      </c>
      <c r="B6" s="1" t="s">
        <v>80</v>
      </c>
      <c r="C6" s="1"/>
      <c r="D6" s="1"/>
      <c r="E6" s="1" t="e">
        <f>D6/C6</f>
        <v>#DIV/0!</v>
      </c>
    </row>
    <row r="7" spans="1:5" x14ac:dyDescent="0.25">
      <c r="A7" s="1">
        <v>2</v>
      </c>
      <c r="B7" s="1" t="s">
        <v>81</v>
      </c>
      <c r="C7" s="1"/>
      <c r="D7" s="1"/>
      <c r="E7" s="1" t="e">
        <f>D7/C7</f>
        <v>#DIV/0!</v>
      </c>
    </row>
    <row r="10" spans="1:5" x14ac:dyDescent="0.25">
      <c r="A10" t="s">
        <v>161</v>
      </c>
    </row>
    <row r="11" spans="1:5" x14ac:dyDescent="0.25">
      <c r="A11" s="4" t="s">
        <v>16</v>
      </c>
      <c r="B11" s="4" t="s">
        <v>14</v>
      </c>
      <c r="C11" s="4" t="s">
        <v>18</v>
      </c>
      <c r="D11" s="4" t="s">
        <v>82</v>
      </c>
      <c r="E11" s="4" t="s">
        <v>140</v>
      </c>
    </row>
    <row r="12" spans="1:5" x14ac:dyDescent="0.25">
      <c r="A12" s="1">
        <v>1</v>
      </c>
      <c r="B12" s="1" t="s">
        <v>80</v>
      </c>
      <c r="C12" s="1"/>
      <c r="D12" s="1"/>
      <c r="E12" s="1" t="e">
        <f>D12/C12</f>
        <v>#DIV/0!</v>
      </c>
    </row>
    <row r="13" spans="1:5" x14ac:dyDescent="0.25">
      <c r="A13" s="1">
        <v>2</v>
      </c>
      <c r="B13" s="1" t="s">
        <v>81</v>
      </c>
      <c r="C13" s="1"/>
      <c r="D13" s="1"/>
      <c r="E13" s="1" t="e">
        <f>D13/C13</f>
        <v>#DIV/0!</v>
      </c>
    </row>
    <row r="16" spans="1:5" x14ac:dyDescent="0.25">
      <c r="A16" t="s">
        <v>162</v>
      </c>
    </row>
    <row r="17" spans="1:5" x14ac:dyDescent="0.25">
      <c r="A17" s="4" t="s">
        <v>16</v>
      </c>
      <c r="B17" s="4" t="s">
        <v>14</v>
      </c>
      <c r="C17" s="4" t="s">
        <v>18</v>
      </c>
      <c r="D17" s="4" t="s">
        <v>82</v>
      </c>
      <c r="E17" s="4" t="s">
        <v>140</v>
      </c>
    </row>
    <row r="18" spans="1:5" x14ac:dyDescent="0.25">
      <c r="A18" s="1">
        <v>1</v>
      </c>
      <c r="B18" s="1" t="s">
        <v>80</v>
      </c>
      <c r="C18" s="1"/>
      <c r="D18" s="1"/>
      <c r="E18" s="1" t="e">
        <f>D18/C18</f>
        <v>#DIV/0!</v>
      </c>
    </row>
    <row r="19" spans="1:5" x14ac:dyDescent="0.25">
      <c r="A19" s="1">
        <v>2</v>
      </c>
      <c r="B19" s="1" t="s">
        <v>81</v>
      </c>
      <c r="C19" s="1"/>
      <c r="D19" s="1"/>
      <c r="E19" s="1" t="e">
        <f>D19/C19</f>
        <v>#DIV/0!</v>
      </c>
    </row>
  </sheetData>
  <pageMargins left="0.7" right="0.7" top="0.75" bottom="0.75" header="0.3" footer="0.3"/>
  <pageSetup paperSize="256" scale="91" orientation="portrait" horizont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/>
  </sheetPr>
  <dimension ref="A1:F53"/>
  <sheetViews>
    <sheetView view="pageBreakPreview" zoomScale="130" zoomScaleNormal="100" zoomScaleSheetLayoutView="130" workbookViewId="0">
      <selection activeCell="D12" sqref="D12"/>
    </sheetView>
  </sheetViews>
  <sheetFormatPr defaultRowHeight="15" x14ac:dyDescent="0.25"/>
  <cols>
    <col min="1" max="1" width="6" customWidth="1"/>
    <col min="2" max="2" width="49.140625" customWidth="1"/>
    <col min="3" max="5" width="14.5703125" customWidth="1"/>
    <col min="6" max="6" width="23.42578125" customWidth="1"/>
  </cols>
  <sheetData>
    <row r="1" spans="1:6" x14ac:dyDescent="0.25">
      <c r="A1" s="7" t="s">
        <v>166</v>
      </c>
    </row>
    <row r="2" spans="1:6" x14ac:dyDescent="0.25">
      <c r="A2" s="6"/>
    </row>
    <row r="3" spans="1:6" x14ac:dyDescent="0.25">
      <c r="A3" s="7" t="s">
        <v>70</v>
      </c>
      <c r="B3" s="7"/>
      <c r="C3" s="7"/>
      <c r="D3" s="7"/>
      <c r="E3" s="7"/>
    </row>
    <row r="4" spans="1:6" x14ac:dyDescent="0.25">
      <c r="A4" s="7" t="s">
        <v>163</v>
      </c>
      <c r="B4" s="7"/>
      <c r="C4" s="7"/>
      <c r="D4" s="7"/>
      <c r="E4" s="7"/>
    </row>
    <row r="5" spans="1:6" x14ac:dyDescent="0.25">
      <c r="A5" s="4" t="s">
        <v>13</v>
      </c>
      <c r="B5" s="4" t="s">
        <v>20</v>
      </c>
      <c r="C5" s="4" t="s">
        <v>168</v>
      </c>
      <c r="D5" s="4" t="s">
        <v>169</v>
      </c>
      <c r="E5" s="4" t="s">
        <v>170</v>
      </c>
      <c r="F5" s="4" t="s">
        <v>83</v>
      </c>
    </row>
    <row r="6" spans="1:6" x14ac:dyDescent="0.25">
      <c r="A6" s="1">
        <v>1</v>
      </c>
      <c r="B6" s="1" t="s">
        <v>84</v>
      </c>
      <c r="C6" s="1"/>
      <c r="D6" s="1"/>
      <c r="E6" s="1"/>
      <c r="F6" s="1"/>
    </row>
    <row r="7" spans="1:6" x14ac:dyDescent="0.25">
      <c r="A7" s="1">
        <v>2</v>
      </c>
      <c r="B7" s="1" t="s">
        <v>74</v>
      </c>
      <c r="C7" s="1"/>
      <c r="D7" s="1"/>
      <c r="E7" s="1"/>
      <c r="F7" s="1"/>
    </row>
    <row r="8" spans="1:6" x14ac:dyDescent="0.25">
      <c r="A8" s="1">
        <v>3</v>
      </c>
      <c r="B8" s="1" t="s">
        <v>85</v>
      </c>
      <c r="C8" s="1"/>
      <c r="D8" s="1"/>
      <c r="E8" s="1"/>
      <c r="F8" s="1"/>
    </row>
    <row r="9" spans="1:6" x14ac:dyDescent="0.25">
      <c r="A9" s="1">
        <v>4</v>
      </c>
      <c r="B9" s="1" t="s">
        <v>86</v>
      </c>
      <c r="C9" s="1"/>
      <c r="D9" s="1"/>
      <c r="E9" s="1"/>
      <c r="F9" s="1"/>
    </row>
    <row r="10" spans="1:6" x14ac:dyDescent="0.25">
      <c r="A10" s="1">
        <v>5</v>
      </c>
      <c r="B10" s="1" t="s">
        <v>87</v>
      </c>
      <c r="C10" s="1"/>
      <c r="D10" s="1"/>
      <c r="E10" s="1"/>
      <c r="F10" s="1"/>
    </row>
    <row r="11" spans="1:6" x14ac:dyDescent="0.25">
      <c r="A11" s="1">
        <v>6</v>
      </c>
      <c r="B11" s="1" t="s">
        <v>88</v>
      </c>
      <c r="C11" s="1"/>
      <c r="D11" s="1"/>
      <c r="E11" s="1"/>
      <c r="F11" s="1"/>
    </row>
    <row r="12" spans="1:6" x14ac:dyDescent="0.25">
      <c r="A12" s="1">
        <v>7</v>
      </c>
      <c r="B12" s="1" t="s">
        <v>23</v>
      </c>
      <c r="C12" s="1"/>
      <c r="D12" s="1"/>
      <c r="E12" s="1"/>
      <c r="F12" s="1"/>
    </row>
    <row r="13" spans="1:6" x14ac:dyDescent="0.25">
      <c r="A13" s="1">
        <v>8</v>
      </c>
      <c r="B13" s="1" t="s">
        <v>89</v>
      </c>
      <c r="C13" s="1"/>
      <c r="D13" s="1"/>
      <c r="E13" s="1"/>
      <c r="F13" s="1"/>
    </row>
    <row r="14" spans="1:6" x14ac:dyDescent="0.25">
      <c r="A14" s="1">
        <v>9</v>
      </c>
      <c r="B14" s="1" t="s">
        <v>90</v>
      </c>
      <c r="C14" s="1"/>
      <c r="D14" s="1"/>
      <c r="E14" s="1"/>
      <c r="F14" s="1"/>
    </row>
    <row r="15" spans="1:6" x14ac:dyDescent="0.25">
      <c r="A15" s="1">
        <v>10</v>
      </c>
      <c r="B15" s="1" t="s">
        <v>91</v>
      </c>
      <c r="C15" s="1"/>
      <c r="D15" s="1"/>
      <c r="E15" s="1"/>
      <c r="F15" s="1"/>
    </row>
    <row r="16" spans="1:6" x14ac:dyDescent="0.25">
      <c r="A16" s="1">
        <v>11</v>
      </c>
      <c r="B16" s="1" t="s">
        <v>92</v>
      </c>
      <c r="C16" s="1"/>
      <c r="D16" s="1"/>
      <c r="E16" s="1"/>
      <c r="F16" s="1"/>
    </row>
    <row r="17" spans="1:6" x14ac:dyDescent="0.25">
      <c r="A17" s="1">
        <v>12</v>
      </c>
      <c r="B17" s="1" t="s">
        <v>93</v>
      </c>
      <c r="C17" s="1"/>
      <c r="D17" s="1"/>
      <c r="E17" s="1"/>
      <c r="F17" s="1"/>
    </row>
    <row r="18" spans="1:6" x14ac:dyDescent="0.25">
      <c r="A18" s="1">
        <v>13</v>
      </c>
      <c r="B18" s="1" t="s">
        <v>94</v>
      </c>
      <c r="C18" s="1"/>
      <c r="D18" s="1"/>
      <c r="E18" s="1"/>
      <c r="F18" s="1"/>
    </row>
    <row r="19" spans="1:6" x14ac:dyDescent="0.25">
      <c r="A19" s="1">
        <v>14</v>
      </c>
      <c r="B19" s="1" t="s">
        <v>95</v>
      </c>
      <c r="C19" s="1"/>
      <c r="D19" s="1"/>
      <c r="E19" s="1"/>
      <c r="F19" s="1"/>
    </row>
    <row r="20" spans="1:6" x14ac:dyDescent="0.25">
      <c r="A20" s="1">
        <v>15</v>
      </c>
      <c r="B20" s="1" t="s">
        <v>96</v>
      </c>
      <c r="C20" s="1"/>
      <c r="D20" s="1"/>
      <c r="E20" s="1"/>
      <c r="F20" s="1"/>
    </row>
    <row r="21" spans="1:6" x14ac:dyDescent="0.25">
      <c r="A21" s="1">
        <v>16</v>
      </c>
      <c r="B21" s="1" t="s">
        <v>97</v>
      </c>
      <c r="C21" s="1"/>
      <c r="D21" s="1"/>
      <c r="E21" s="1"/>
      <c r="F21" s="1"/>
    </row>
    <row r="22" spans="1:6" x14ac:dyDescent="0.25">
      <c r="A22" s="1">
        <v>17</v>
      </c>
      <c r="B22" s="1" t="s">
        <v>98</v>
      </c>
      <c r="C22" s="1"/>
      <c r="D22" s="1"/>
      <c r="E22" s="1"/>
      <c r="F22" s="1"/>
    </row>
    <row r="23" spans="1:6" x14ac:dyDescent="0.25">
      <c r="A23" s="1">
        <v>18</v>
      </c>
      <c r="B23" s="1" t="s">
        <v>99</v>
      </c>
      <c r="C23" s="1"/>
      <c r="D23" s="1"/>
      <c r="E23" s="1"/>
      <c r="F23" s="1"/>
    </row>
    <row r="24" spans="1:6" x14ac:dyDescent="0.25">
      <c r="A24" s="1">
        <v>19</v>
      </c>
      <c r="B24" s="1" t="s">
        <v>100</v>
      </c>
      <c r="C24" s="1"/>
      <c r="D24" s="1"/>
      <c r="E24" s="1"/>
      <c r="F24" s="1"/>
    </row>
    <row r="25" spans="1:6" x14ac:dyDescent="0.25">
      <c r="A25" s="1">
        <v>20</v>
      </c>
      <c r="B25" s="1" t="s">
        <v>79</v>
      </c>
      <c r="C25" s="1"/>
      <c r="D25" s="1"/>
      <c r="E25" s="1"/>
      <c r="F25" s="1"/>
    </row>
    <row r="26" spans="1:6" x14ac:dyDescent="0.25">
      <c r="A26" s="1">
        <v>21</v>
      </c>
      <c r="B26" s="1" t="s">
        <v>101</v>
      </c>
      <c r="C26" s="1"/>
      <c r="D26" s="1"/>
      <c r="E26" s="1"/>
      <c r="F26" s="1"/>
    </row>
    <row r="27" spans="1:6" x14ac:dyDescent="0.25">
      <c r="A27" s="1">
        <v>22</v>
      </c>
      <c r="B27" s="1" t="s">
        <v>102</v>
      </c>
      <c r="C27" s="1"/>
      <c r="D27" s="1"/>
      <c r="E27" s="1"/>
      <c r="F27" s="1"/>
    </row>
    <row r="28" spans="1:6" x14ac:dyDescent="0.25">
      <c r="A28" s="1">
        <v>23</v>
      </c>
      <c r="B28" s="1" t="s">
        <v>103</v>
      </c>
      <c r="C28" s="1"/>
      <c r="D28" s="1"/>
      <c r="E28" s="1"/>
      <c r="F28" s="1"/>
    </row>
    <row r="29" spans="1:6" x14ac:dyDescent="0.25">
      <c r="A29" s="1">
        <v>24</v>
      </c>
      <c r="B29" s="1" t="s">
        <v>104</v>
      </c>
      <c r="C29" s="1"/>
      <c r="D29" s="1"/>
      <c r="E29" s="1"/>
      <c r="F29" s="1"/>
    </row>
    <row r="30" spans="1:6" x14ac:dyDescent="0.25">
      <c r="A30" s="1">
        <v>25</v>
      </c>
      <c r="B30" s="1" t="s">
        <v>105</v>
      </c>
      <c r="C30" s="1"/>
      <c r="D30" s="1"/>
      <c r="E30" s="1"/>
      <c r="F30" s="1"/>
    </row>
    <row r="31" spans="1:6" x14ac:dyDescent="0.25">
      <c r="A31" s="1">
        <v>26</v>
      </c>
      <c r="B31" s="1" t="s">
        <v>106</v>
      </c>
      <c r="C31" s="1"/>
      <c r="D31" s="1"/>
      <c r="E31" s="1"/>
      <c r="F31" s="1"/>
    </row>
    <row r="32" spans="1:6" x14ac:dyDescent="0.25">
      <c r="A32" s="1">
        <v>27</v>
      </c>
      <c r="B32" s="1" t="s">
        <v>107</v>
      </c>
      <c r="C32" s="1"/>
      <c r="D32" s="1"/>
      <c r="E32" s="1"/>
      <c r="F32" s="1"/>
    </row>
    <row r="33" spans="1:6" x14ac:dyDescent="0.25">
      <c r="A33" s="1">
        <v>28</v>
      </c>
      <c r="B33" s="1" t="s">
        <v>108</v>
      </c>
      <c r="C33" s="1"/>
      <c r="D33" s="1"/>
      <c r="E33" s="1"/>
      <c r="F33" s="1"/>
    </row>
    <row r="34" spans="1:6" x14ac:dyDescent="0.25">
      <c r="A34" s="1">
        <v>29</v>
      </c>
      <c r="B34" s="1" t="s">
        <v>109</v>
      </c>
      <c r="C34" s="1"/>
      <c r="D34" s="1"/>
      <c r="E34" s="1"/>
      <c r="F34" s="1"/>
    </row>
    <row r="35" spans="1:6" x14ac:dyDescent="0.25">
      <c r="A35" s="1">
        <v>30</v>
      </c>
      <c r="B35" s="1" t="s">
        <v>110</v>
      </c>
      <c r="C35" s="1"/>
      <c r="D35" s="1"/>
      <c r="E35" s="1"/>
      <c r="F35" s="1"/>
    </row>
    <row r="36" spans="1:6" x14ac:dyDescent="0.25">
      <c r="A36" s="1">
        <v>31</v>
      </c>
      <c r="B36" s="1" t="s">
        <v>111</v>
      </c>
      <c r="C36" s="1"/>
      <c r="D36" s="1"/>
      <c r="E36" s="1"/>
      <c r="F36" s="1"/>
    </row>
    <row r="37" spans="1:6" x14ac:dyDescent="0.25">
      <c r="A37" s="1">
        <v>32</v>
      </c>
      <c r="B37" s="1" t="s">
        <v>112</v>
      </c>
      <c r="C37" s="1"/>
      <c r="D37" s="1"/>
      <c r="E37" s="1"/>
      <c r="F37" s="1"/>
    </row>
    <row r="38" spans="1:6" x14ac:dyDescent="0.25">
      <c r="A38" s="1">
        <v>33</v>
      </c>
      <c r="B38" s="1" t="s">
        <v>113</v>
      </c>
      <c r="C38" s="1"/>
      <c r="D38" s="1"/>
      <c r="E38" s="1"/>
      <c r="F38" s="1"/>
    </row>
    <row r="39" spans="1:6" x14ac:dyDescent="0.25">
      <c r="A39" s="1">
        <v>34</v>
      </c>
      <c r="B39" s="1" t="s">
        <v>114</v>
      </c>
      <c r="C39" s="1"/>
      <c r="D39" s="1"/>
      <c r="E39" s="1"/>
      <c r="F39" s="1"/>
    </row>
    <row r="40" spans="1:6" x14ac:dyDescent="0.25">
      <c r="A40" s="1">
        <v>35</v>
      </c>
      <c r="B40" s="1" t="s">
        <v>115</v>
      </c>
      <c r="C40" s="1"/>
      <c r="D40" s="1"/>
      <c r="E40" s="1"/>
      <c r="F40" s="1"/>
    </row>
    <row r="41" spans="1:6" x14ac:dyDescent="0.25">
      <c r="A41" s="1">
        <v>36</v>
      </c>
      <c r="B41" s="1" t="s">
        <v>116</v>
      </c>
      <c r="C41" s="1"/>
      <c r="D41" s="1"/>
      <c r="E41" s="1"/>
      <c r="F41" s="1"/>
    </row>
    <row r="42" spans="1:6" x14ac:dyDescent="0.25">
      <c r="A42" s="1">
        <v>37</v>
      </c>
      <c r="B42" s="1" t="s">
        <v>117</v>
      </c>
      <c r="C42" s="1"/>
      <c r="D42" s="1"/>
      <c r="E42" s="1"/>
      <c r="F42" s="1"/>
    </row>
    <row r="43" spans="1:6" x14ac:dyDescent="0.25">
      <c r="A43" s="1">
        <v>38</v>
      </c>
      <c r="B43" s="1" t="s">
        <v>118</v>
      </c>
      <c r="C43" s="1"/>
      <c r="D43" s="1"/>
      <c r="E43" s="1"/>
      <c r="F43" s="1"/>
    </row>
    <row r="44" spans="1:6" x14ac:dyDescent="0.25">
      <c r="A44" s="1">
        <v>39</v>
      </c>
      <c r="B44" s="1" t="s">
        <v>119</v>
      </c>
      <c r="C44" s="1"/>
      <c r="D44" s="1"/>
      <c r="E44" s="1"/>
      <c r="F44" s="1"/>
    </row>
    <row r="45" spans="1:6" x14ac:dyDescent="0.25">
      <c r="A45" s="1">
        <v>40</v>
      </c>
      <c r="B45" s="1" t="s">
        <v>120</v>
      </c>
      <c r="C45" s="1"/>
      <c r="D45" s="1"/>
      <c r="E45" s="1"/>
      <c r="F45" s="1"/>
    </row>
    <row r="46" spans="1:6" x14ac:dyDescent="0.25">
      <c r="A46" s="1">
        <v>41</v>
      </c>
      <c r="B46" s="1" t="s">
        <v>121</v>
      </c>
      <c r="C46" s="1"/>
      <c r="D46" s="1"/>
      <c r="E46" s="1"/>
      <c r="F46" s="1"/>
    </row>
    <row r="47" spans="1:6" x14ac:dyDescent="0.25">
      <c r="A47" s="1">
        <v>42</v>
      </c>
      <c r="B47" s="1" t="s">
        <v>59</v>
      </c>
      <c r="C47" s="1"/>
      <c r="D47" s="1"/>
      <c r="E47" s="1"/>
      <c r="F47" s="1"/>
    </row>
    <row r="48" spans="1:6" x14ac:dyDescent="0.25">
      <c r="A48" s="1">
        <v>43</v>
      </c>
      <c r="B48" s="1" t="s">
        <v>122</v>
      </c>
      <c r="C48" s="1"/>
      <c r="D48" s="1"/>
      <c r="E48" s="1"/>
      <c r="F48" s="1"/>
    </row>
    <row r="49" spans="1:6" x14ac:dyDescent="0.25">
      <c r="A49" s="1">
        <v>44</v>
      </c>
      <c r="B49" s="1" t="s">
        <v>123</v>
      </c>
      <c r="C49" s="1"/>
      <c r="D49" s="1"/>
      <c r="E49" s="1"/>
      <c r="F49" s="1"/>
    </row>
    <row r="50" spans="1:6" x14ac:dyDescent="0.25">
      <c r="A50" s="1">
        <v>45</v>
      </c>
      <c r="B50" s="1" t="s">
        <v>124</v>
      </c>
      <c r="C50" s="1"/>
      <c r="D50" s="1"/>
      <c r="E50" s="1"/>
      <c r="F50" s="1"/>
    </row>
    <row r="51" spans="1:6" x14ac:dyDescent="0.25">
      <c r="A51" s="1">
        <v>46</v>
      </c>
      <c r="B51" s="1" t="s">
        <v>125</v>
      </c>
      <c r="C51" s="1"/>
      <c r="D51" s="1"/>
      <c r="E51" s="1"/>
      <c r="F51" s="1"/>
    </row>
    <row r="52" spans="1:6" x14ac:dyDescent="0.25">
      <c r="A52" s="1">
        <v>47</v>
      </c>
      <c r="B52" s="1" t="s">
        <v>126</v>
      </c>
      <c r="C52" s="1"/>
      <c r="D52" s="1"/>
      <c r="E52" s="1"/>
      <c r="F52" s="1"/>
    </row>
    <row r="53" spans="1:6" x14ac:dyDescent="0.25">
      <c r="A53" s="1">
        <v>48</v>
      </c>
      <c r="B53" s="1" t="s">
        <v>127</v>
      </c>
      <c r="C53" s="1"/>
      <c r="D53" s="1"/>
      <c r="E53" s="1"/>
      <c r="F53" s="1"/>
    </row>
  </sheetData>
  <pageMargins left="0.7" right="0.7" top="0.75" bottom="0.75" header="0.3" footer="0.3"/>
  <pageSetup paperSize="256" scale="74" orientation="portrait" horizontalDpi="4294967294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A1:D87"/>
  <sheetViews>
    <sheetView view="pageBreakPreview" zoomScaleNormal="100" zoomScaleSheetLayoutView="100" workbookViewId="0">
      <selection activeCell="G11" sqref="G11"/>
    </sheetView>
  </sheetViews>
  <sheetFormatPr defaultRowHeight="15" x14ac:dyDescent="0.25"/>
  <cols>
    <col min="1" max="1" width="6" style="6" customWidth="1"/>
    <col min="2" max="2" width="45.5703125" customWidth="1"/>
    <col min="3" max="3" width="23.42578125" customWidth="1"/>
    <col min="4" max="4" width="27.28515625" customWidth="1"/>
  </cols>
  <sheetData>
    <row r="1" spans="1:4" x14ac:dyDescent="0.25">
      <c r="A1" s="7" t="s">
        <v>167</v>
      </c>
    </row>
    <row r="3" spans="1:4" x14ac:dyDescent="0.25">
      <c r="A3" s="7" t="s">
        <v>70</v>
      </c>
      <c r="B3" s="7"/>
    </row>
    <row r="4" spans="1:4" x14ac:dyDescent="0.25">
      <c r="A4" s="7" t="s">
        <v>163</v>
      </c>
      <c r="B4" s="7"/>
    </row>
    <row r="5" spans="1:4" x14ac:dyDescent="0.25">
      <c r="A5" s="36" t="s">
        <v>13</v>
      </c>
      <c r="B5" s="36" t="s">
        <v>20</v>
      </c>
      <c r="C5" s="36" t="s">
        <v>135</v>
      </c>
      <c r="D5" s="36"/>
    </row>
    <row r="6" spans="1:4" x14ac:dyDescent="0.25">
      <c r="A6" s="36"/>
      <c r="B6" s="36"/>
      <c r="C6" s="11" t="s">
        <v>139</v>
      </c>
      <c r="D6" s="11" t="s">
        <v>81</v>
      </c>
    </row>
    <row r="7" spans="1:4" x14ac:dyDescent="0.25">
      <c r="A7" s="3">
        <v>1</v>
      </c>
      <c r="B7" s="1" t="s">
        <v>84</v>
      </c>
      <c r="C7" s="1"/>
      <c r="D7" s="1"/>
    </row>
    <row r="8" spans="1:4" x14ac:dyDescent="0.25">
      <c r="A8" s="3">
        <v>2</v>
      </c>
      <c r="B8" s="1" t="s">
        <v>74</v>
      </c>
      <c r="C8" s="1"/>
      <c r="D8" s="1"/>
    </row>
    <row r="9" spans="1:4" x14ac:dyDescent="0.25">
      <c r="A9" s="3">
        <v>3</v>
      </c>
      <c r="B9" s="1" t="s">
        <v>85</v>
      </c>
      <c r="C9" s="1"/>
      <c r="D9" s="1"/>
    </row>
    <row r="10" spans="1:4" x14ac:dyDescent="0.25">
      <c r="A10" s="3">
        <v>4</v>
      </c>
      <c r="B10" s="1" t="s">
        <v>86</v>
      </c>
      <c r="C10" s="1"/>
      <c r="D10" s="1"/>
    </row>
    <row r="11" spans="1:4" x14ac:dyDescent="0.25">
      <c r="A11" s="3">
        <v>5</v>
      </c>
      <c r="B11" s="1" t="s">
        <v>87</v>
      </c>
      <c r="C11" s="1"/>
      <c r="D11" s="1"/>
    </row>
    <row r="12" spans="1:4" x14ac:dyDescent="0.25">
      <c r="A12" s="3">
        <v>6</v>
      </c>
      <c r="B12" s="1" t="s">
        <v>88</v>
      </c>
      <c r="C12" s="1"/>
      <c r="D12" s="1"/>
    </row>
    <row r="13" spans="1:4" x14ac:dyDescent="0.25">
      <c r="A13" s="3">
        <v>7</v>
      </c>
      <c r="B13" s="1" t="s">
        <v>23</v>
      </c>
      <c r="C13" s="1"/>
      <c r="D13" s="1"/>
    </row>
    <row r="14" spans="1:4" x14ac:dyDescent="0.25">
      <c r="A14" s="3">
        <v>8</v>
      </c>
      <c r="B14" s="1" t="s">
        <v>89</v>
      </c>
      <c r="C14" s="1"/>
      <c r="D14" s="1"/>
    </row>
    <row r="15" spans="1:4" x14ac:dyDescent="0.25">
      <c r="A15" s="3">
        <v>9</v>
      </c>
      <c r="B15" s="1" t="s">
        <v>90</v>
      </c>
      <c r="C15" s="1"/>
      <c r="D15" s="1"/>
    </row>
    <row r="16" spans="1:4" x14ac:dyDescent="0.25">
      <c r="A16" s="3">
        <v>10</v>
      </c>
      <c r="B16" s="1" t="s">
        <v>91</v>
      </c>
      <c r="C16" s="1"/>
      <c r="D16" s="1"/>
    </row>
    <row r="17" spans="1:4" x14ac:dyDescent="0.25">
      <c r="A17" s="3">
        <v>11</v>
      </c>
      <c r="B17" s="1" t="s">
        <v>92</v>
      </c>
      <c r="C17" s="1"/>
      <c r="D17" s="1"/>
    </row>
    <row r="18" spans="1:4" x14ac:dyDescent="0.25">
      <c r="A18" s="3">
        <v>12</v>
      </c>
      <c r="B18" s="1" t="s">
        <v>93</v>
      </c>
      <c r="C18" s="1"/>
      <c r="D18" s="1"/>
    </row>
    <row r="19" spans="1:4" x14ac:dyDescent="0.25">
      <c r="A19" s="3">
        <v>13</v>
      </c>
      <c r="B19" s="1" t="s">
        <v>94</v>
      </c>
      <c r="C19" s="1"/>
      <c r="D19" s="1"/>
    </row>
    <row r="20" spans="1:4" x14ac:dyDescent="0.25">
      <c r="A20" s="3">
        <v>14</v>
      </c>
      <c r="B20" s="1" t="s">
        <v>95</v>
      </c>
      <c r="C20" s="1"/>
      <c r="D20" s="1"/>
    </row>
    <row r="21" spans="1:4" x14ac:dyDescent="0.25">
      <c r="A21" s="3">
        <v>15</v>
      </c>
      <c r="B21" s="1" t="s">
        <v>96</v>
      </c>
      <c r="C21" s="1"/>
      <c r="D21" s="1"/>
    </row>
    <row r="22" spans="1:4" x14ac:dyDescent="0.25">
      <c r="A22" s="3">
        <v>16</v>
      </c>
      <c r="B22" s="1" t="s">
        <v>97</v>
      </c>
      <c r="C22" s="1"/>
      <c r="D22" s="1"/>
    </row>
    <row r="23" spans="1:4" x14ac:dyDescent="0.25">
      <c r="A23" s="3">
        <v>17</v>
      </c>
      <c r="B23" s="1" t="s">
        <v>98</v>
      </c>
      <c r="C23" s="1"/>
      <c r="D23" s="1"/>
    </row>
    <row r="24" spans="1:4" x14ac:dyDescent="0.25">
      <c r="A24" s="3">
        <v>18</v>
      </c>
      <c r="B24" s="1" t="s">
        <v>99</v>
      </c>
      <c r="C24" s="1"/>
      <c r="D24" s="1"/>
    </row>
    <row r="25" spans="1:4" x14ac:dyDescent="0.25">
      <c r="A25" s="3">
        <v>19</v>
      </c>
      <c r="B25" s="1" t="s">
        <v>100</v>
      </c>
      <c r="C25" s="1"/>
      <c r="D25" s="1"/>
    </row>
    <row r="26" spans="1:4" x14ac:dyDescent="0.25">
      <c r="A26" s="3">
        <v>20</v>
      </c>
      <c r="B26" s="1" t="s">
        <v>79</v>
      </c>
      <c r="C26" s="1"/>
      <c r="D26" s="1"/>
    </row>
    <row r="27" spans="1:4" x14ac:dyDescent="0.25">
      <c r="A27" s="3">
        <v>21</v>
      </c>
      <c r="B27" s="1" t="s">
        <v>101</v>
      </c>
      <c r="C27" s="1"/>
      <c r="D27" s="1"/>
    </row>
    <row r="28" spans="1:4" x14ac:dyDescent="0.25">
      <c r="A28" s="3">
        <v>22</v>
      </c>
      <c r="B28" s="1" t="s">
        <v>102</v>
      </c>
      <c r="C28" s="1"/>
      <c r="D28" s="1"/>
    </row>
    <row r="29" spans="1:4" x14ac:dyDescent="0.25">
      <c r="A29" s="3">
        <v>23</v>
      </c>
      <c r="B29" s="1" t="s">
        <v>103</v>
      </c>
      <c r="C29" s="1"/>
      <c r="D29" s="1"/>
    </row>
    <row r="30" spans="1:4" x14ac:dyDescent="0.25">
      <c r="A30" s="3">
        <v>24</v>
      </c>
      <c r="B30" s="1" t="s">
        <v>104</v>
      </c>
      <c r="C30" s="1"/>
      <c r="D30" s="1"/>
    </row>
    <row r="31" spans="1:4" x14ac:dyDescent="0.25">
      <c r="A31" s="3">
        <v>25</v>
      </c>
      <c r="B31" s="1" t="s">
        <v>105</v>
      </c>
      <c r="C31" s="1"/>
      <c r="D31" s="1"/>
    </row>
    <row r="32" spans="1:4" x14ac:dyDescent="0.25">
      <c r="A32" s="3">
        <v>26</v>
      </c>
      <c r="B32" s="1" t="s">
        <v>106</v>
      </c>
      <c r="C32" s="1"/>
      <c r="D32" s="1"/>
    </row>
    <row r="33" spans="1:4" x14ac:dyDescent="0.25">
      <c r="A33" s="3">
        <v>27</v>
      </c>
      <c r="B33" s="1" t="s">
        <v>107</v>
      </c>
      <c r="C33" s="1"/>
      <c r="D33" s="1"/>
    </row>
    <row r="34" spans="1:4" x14ac:dyDescent="0.25">
      <c r="A34" s="3">
        <v>28</v>
      </c>
      <c r="B34" s="1" t="s">
        <v>108</v>
      </c>
      <c r="C34" s="1"/>
      <c r="D34" s="1"/>
    </row>
    <row r="35" spans="1:4" x14ac:dyDescent="0.25">
      <c r="A35" s="3">
        <v>29</v>
      </c>
      <c r="B35" s="1" t="s">
        <v>109</v>
      </c>
      <c r="C35" s="1"/>
      <c r="D35" s="1"/>
    </row>
    <row r="36" spans="1:4" x14ac:dyDescent="0.25">
      <c r="A36" s="3">
        <v>30</v>
      </c>
      <c r="B36" s="1" t="s">
        <v>110</v>
      </c>
      <c r="C36" s="1"/>
      <c r="D36" s="1"/>
    </row>
    <row r="37" spans="1:4" x14ac:dyDescent="0.25">
      <c r="A37" s="3">
        <v>31</v>
      </c>
      <c r="B37" s="1" t="s">
        <v>111</v>
      </c>
      <c r="C37" s="1"/>
      <c r="D37" s="1"/>
    </row>
    <row r="38" spans="1:4" x14ac:dyDescent="0.25">
      <c r="A38" s="3">
        <v>32</v>
      </c>
      <c r="B38" s="1" t="s">
        <v>112</v>
      </c>
      <c r="C38" s="1"/>
      <c r="D38" s="1"/>
    </row>
    <row r="39" spans="1:4" x14ac:dyDescent="0.25">
      <c r="A39" s="3">
        <v>33</v>
      </c>
      <c r="B39" s="1" t="s">
        <v>113</v>
      </c>
      <c r="C39" s="1"/>
      <c r="D39" s="1"/>
    </row>
    <row r="40" spans="1:4" x14ac:dyDescent="0.25">
      <c r="A40" s="3">
        <v>34</v>
      </c>
      <c r="B40" s="1" t="s">
        <v>114</v>
      </c>
      <c r="C40" s="1"/>
      <c r="D40" s="1"/>
    </row>
    <row r="41" spans="1:4" x14ac:dyDescent="0.25">
      <c r="A41" s="3">
        <v>35</v>
      </c>
      <c r="B41" s="1" t="s">
        <v>115</v>
      </c>
      <c r="C41" s="1"/>
      <c r="D41" s="1"/>
    </row>
    <row r="42" spans="1:4" x14ac:dyDescent="0.25">
      <c r="A42" s="3">
        <v>36</v>
      </c>
      <c r="B42" s="1" t="s">
        <v>116</v>
      </c>
      <c r="C42" s="1"/>
      <c r="D42" s="1"/>
    </row>
    <row r="43" spans="1:4" x14ac:dyDescent="0.25">
      <c r="A43" s="3">
        <v>37</v>
      </c>
      <c r="B43" s="1" t="s">
        <v>117</v>
      </c>
      <c r="C43" s="1"/>
      <c r="D43" s="1"/>
    </row>
    <row r="44" spans="1:4" x14ac:dyDescent="0.25">
      <c r="A44" s="3">
        <v>38</v>
      </c>
      <c r="B44" s="1" t="s">
        <v>118</v>
      </c>
      <c r="C44" s="1"/>
      <c r="D44" s="1"/>
    </row>
    <row r="45" spans="1:4" x14ac:dyDescent="0.25">
      <c r="A45" s="3">
        <v>39</v>
      </c>
      <c r="B45" s="1" t="s">
        <v>119</v>
      </c>
      <c r="C45" s="1"/>
      <c r="D45" s="1"/>
    </row>
    <row r="46" spans="1:4" x14ac:dyDescent="0.25">
      <c r="A46" s="3">
        <v>40</v>
      </c>
      <c r="B46" s="1" t="s">
        <v>120</v>
      </c>
      <c r="C46" s="1"/>
      <c r="D46" s="1"/>
    </row>
    <row r="47" spans="1:4" x14ac:dyDescent="0.25">
      <c r="A47" s="3">
        <v>41</v>
      </c>
      <c r="B47" s="1" t="s">
        <v>121</v>
      </c>
      <c r="C47" s="1"/>
      <c r="D47" s="1"/>
    </row>
    <row r="48" spans="1:4" x14ac:dyDescent="0.25">
      <c r="A48" s="3">
        <v>42</v>
      </c>
      <c r="B48" s="1" t="s">
        <v>59</v>
      </c>
      <c r="C48" s="1"/>
      <c r="D48" s="1"/>
    </row>
    <row r="49" spans="1:4" x14ac:dyDescent="0.25">
      <c r="A49" s="3">
        <v>43</v>
      </c>
      <c r="B49" s="1" t="s">
        <v>122</v>
      </c>
      <c r="C49" s="1"/>
      <c r="D49" s="1"/>
    </row>
    <row r="50" spans="1:4" x14ac:dyDescent="0.25">
      <c r="A50" s="3">
        <v>44</v>
      </c>
      <c r="B50" s="1" t="s">
        <v>123</v>
      </c>
      <c r="C50" s="1"/>
      <c r="D50" s="1"/>
    </row>
    <row r="51" spans="1:4" x14ac:dyDescent="0.25">
      <c r="A51" s="3">
        <v>45</v>
      </c>
      <c r="B51" s="1" t="s">
        <v>124</v>
      </c>
      <c r="C51" s="1"/>
      <c r="D51" s="1"/>
    </row>
    <row r="52" spans="1:4" x14ac:dyDescent="0.25">
      <c r="A52" s="3">
        <v>46</v>
      </c>
      <c r="B52" s="1" t="s">
        <v>125</v>
      </c>
      <c r="C52" s="1"/>
      <c r="D52" s="1"/>
    </row>
    <row r="53" spans="1:4" x14ac:dyDescent="0.25">
      <c r="A53" s="3">
        <v>47</v>
      </c>
      <c r="B53" s="1" t="s">
        <v>126</v>
      </c>
      <c r="C53" s="1"/>
      <c r="D53" s="1"/>
    </row>
    <row r="54" spans="1:4" x14ac:dyDescent="0.25">
      <c r="A54" s="3">
        <v>48</v>
      </c>
      <c r="B54" s="1" t="s">
        <v>127</v>
      </c>
      <c r="C54" s="1"/>
      <c r="D54" s="1"/>
    </row>
    <row r="55" spans="1:4" x14ac:dyDescent="0.25">
      <c r="A55"/>
    </row>
    <row r="56" spans="1:4" x14ac:dyDescent="0.25">
      <c r="A56"/>
    </row>
    <row r="57" spans="1:4" x14ac:dyDescent="0.25">
      <c r="A57"/>
    </row>
    <row r="58" spans="1:4" x14ac:dyDescent="0.25">
      <c r="A58"/>
    </row>
    <row r="59" spans="1:4" x14ac:dyDescent="0.25">
      <c r="A59"/>
    </row>
    <row r="60" spans="1:4" x14ac:dyDescent="0.25">
      <c r="A60"/>
    </row>
    <row r="61" spans="1:4" x14ac:dyDescent="0.25">
      <c r="A61"/>
    </row>
    <row r="62" spans="1:4" x14ac:dyDescent="0.25">
      <c r="A62"/>
    </row>
    <row r="63" spans="1:4" x14ac:dyDescent="0.25">
      <c r="A63"/>
    </row>
    <row r="64" spans="1:4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</sheetData>
  <mergeCells count="3">
    <mergeCell ref="C5:D5"/>
    <mergeCell ref="A5:A6"/>
    <mergeCell ref="B5:B6"/>
  </mergeCells>
  <pageMargins left="0.7" right="0.7" top="0.75" bottom="0.75" header="0.3" footer="0.3"/>
  <pageSetup paperSize="256" scale="88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RTP</vt:lpstr>
      <vt:lpstr>Produksi</vt:lpstr>
      <vt:lpstr>Produksi Total</vt:lpstr>
      <vt:lpstr>Komunitas_JenisBud</vt:lpstr>
      <vt:lpstr>Produksi Kecamatan</vt:lpstr>
      <vt:lpstr>Harga Rata2</vt:lpstr>
      <vt:lpstr>RTP P</vt:lpstr>
      <vt:lpstr>Produksi P</vt:lpstr>
      <vt:lpstr>Produksi T P</vt:lpstr>
      <vt:lpstr>Harga Rata2 P</vt:lpstr>
      <vt:lpstr>RTP H</vt:lpstr>
      <vt:lpstr>Produksi H</vt:lpstr>
      <vt:lpstr>Produksi Total H</vt:lpstr>
      <vt:lpstr>Harga Rata2 H</vt:lpstr>
      <vt:lpstr>'Harga Rata2'!Print_Area</vt:lpstr>
      <vt:lpstr>'Harga Rata2 H'!Print_Area</vt:lpstr>
      <vt:lpstr>'Harga Rata2 P'!Print_Area</vt:lpstr>
      <vt:lpstr>Produksi!Print_Area</vt:lpstr>
      <vt:lpstr>'Produksi H'!Print_Area</vt:lpstr>
      <vt:lpstr>'Produksi P'!Print_Area</vt:lpstr>
      <vt:lpstr>'Produksi T P'!Print_Area</vt:lpstr>
      <vt:lpstr>'Produksi Total'!Print_Area</vt:lpstr>
      <vt:lpstr>'Produksi Total H'!Print_Area</vt:lpstr>
      <vt:lpstr>RTP!Print_Area</vt:lpstr>
      <vt:lpstr>'RTP H'!Print_Area</vt:lpstr>
      <vt:lpstr>'RTP 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2026-05-06T11:23:41Z</dcterms:modified>
</cp:coreProperties>
</file>